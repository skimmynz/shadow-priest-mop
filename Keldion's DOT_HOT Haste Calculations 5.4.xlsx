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EST (Shadow)" sheetId="1" r:id="rId4"/>
  </sheets>
  <definedNames/>
  <calcPr/>
</workbook>
</file>

<file path=xl/sharedStrings.xml><?xml version="1.0" encoding="utf-8"?>
<sst xmlns="http://schemas.openxmlformats.org/spreadsheetml/2006/main" count="180" uniqueCount="27">
  <si>
    <t>Shadow Word: Pain / Vampiric Touch (4pc T14)</t>
  </si>
  <si>
    <t>Base duration (ms)</t>
  </si>
  <si>
    <t>18000</t>
  </si>
  <si>
    <t>Tick duration (ms)</t>
  </si>
  <si>
    <t>3000</t>
  </si>
  <si>
    <t>Default frequency</t>
  </si>
  <si>
    <t>Number of ticks</t>
  </si>
  <si>
    <t>Default</t>
  </si>
  <si>
    <t>Tickspeed required</t>
  </si>
  <si>
    <t>Adjusted tickspeed required</t>
  </si>
  <si>
    <t>Required Haste (no buffs)</t>
  </si>
  <si>
    <t>- Haste rating</t>
  </si>
  <si>
    <t>Nongoblin haste figures</t>
  </si>
  <si>
    <t>Effective Haste</t>
  </si>
  <si>
    <t>Raid Haste</t>
  </si>
  <si>
    <t>- Rating</t>
  </si>
  <si>
    <t>Hero/BL/TW</t>
  </si>
  <si>
    <t>N/A</t>
  </si>
  <si>
    <t>Hero/BL/TW + Raid Haste</t>
  </si>
  <si>
    <t>Goblin haste figures (+1%)</t>
  </si>
  <si>
    <t>Vampiric Touch</t>
  </si>
  <si>
    <t>15000</t>
  </si>
  <si>
    <t>Devouring Plague</t>
  </si>
  <si>
    <t>6000</t>
  </si>
  <si>
    <t>1000</t>
  </si>
  <si>
    <t>Shadow Word: Pain (4 pc T14)</t>
  </si>
  <si>
    <t>21000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</si>
</sst>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#############"/>
    <numFmt numFmtId="165" formatCode="#,##0.00000000"/>
  </numFmts>
  <fonts count="6">
    <font>
      <sz val="10.0"/>
      <color rgb="FF000000"/>
      <name val="Arial"/>
    </font>
    <font/>
    <font>
      <sz val="10.0"/>
      <color rgb="FF000000"/>
    </font>
    <font>
      <b/>
      <sz val="10.0"/>
    </font>
    <font>
      <b/>
      <sz val="10.0"/>
      <color rgb="FF000000"/>
    </font>
    <font>
      <sz val="10.0"/>
      <color rgb="FF808080"/>
    </font>
  </fonts>
  <fills count="13">
    <fill>
      <patternFill patternType="none"/>
    </fill>
    <fill>
      <patternFill patternType="lightGray"/>
    </fill>
    <fill>
      <patternFill patternType="solid">
        <fgColor rgb="FFE1C7E1"/>
        <bgColor rgb="FFE1C7E1"/>
      </patternFill>
    </fill>
    <fill>
      <patternFill patternType="solid">
        <fgColor rgb="FFFFFFFF"/>
        <bgColor rgb="FFFFFFFF"/>
      </patternFill>
    </fill>
    <fill>
      <patternFill patternType="solid">
        <fgColor rgb="FFFADCB3"/>
        <bgColor rgb="FFFADCB3"/>
      </patternFill>
    </fill>
    <fill>
      <patternFill patternType="solid">
        <fgColor rgb="FFC0C0C0"/>
        <bgColor rgb="FFC0C0C0"/>
      </patternFill>
    </fill>
    <fill>
      <patternFill patternType="solid">
        <fgColor rgb="FFDDDDDD"/>
        <bgColor rgb="FFDDDDDD"/>
      </patternFill>
    </fill>
    <fill>
      <patternFill patternType="solid">
        <fgColor rgb="FF969696"/>
        <bgColor rgb="FF969696"/>
      </patternFill>
    </fill>
    <fill>
      <patternFill patternType="solid">
        <fgColor rgb="FFE69999"/>
        <bgColor rgb="FFE69999"/>
      </patternFill>
    </fill>
    <fill>
      <patternFill patternType="solid">
        <fgColor rgb="FFEBD780"/>
        <bgColor rgb="FFEBD780"/>
      </patternFill>
    </fill>
    <fill>
      <patternFill patternType="solid">
        <fgColor rgb="FFBDE6E1"/>
        <bgColor rgb="FFBDE6E1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2" fontId="1" numFmtId="164" xfId="0" applyAlignment="1" applyFill="1" applyFont="1" applyNumberFormat="1">
      <alignment horizontal="right" readingOrder="0" shrinkToFit="0" vertical="bottom" wrapText="1"/>
    </xf>
    <xf borderId="0" fillId="0" fontId="1" numFmtId="164" xfId="0" applyAlignment="1" applyFont="1" applyNumberFormat="1">
      <alignment shrinkToFit="0" wrapText="1"/>
    </xf>
    <xf borderId="0" fillId="3" fontId="2" numFmtId="164" xfId="0" applyAlignment="1" applyFill="1" applyFont="1" applyNumberFormat="1">
      <alignment shrinkToFit="0" wrapText="1"/>
    </xf>
    <xf borderId="0" fillId="3" fontId="2" numFmtId="0" xfId="0" applyAlignment="1" applyFont="1">
      <alignment shrinkToFit="0" wrapText="1"/>
    </xf>
    <xf borderId="0" fillId="4" fontId="1" numFmtId="49" xfId="0" applyAlignment="1" applyFill="1" applyFont="1" applyNumberFormat="1">
      <alignment horizontal="right" readingOrder="0" shrinkToFit="0" vertical="bottom" wrapText="1"/>
    </xf>
    <xf borderId="0" fillId="4" fontId="1" numFmtId="0" xfId="0" applyAlignment="1" applyFont="1">
      <alignment horizontal="right" readingOrder="0" shrinkToFit="0" vertical="bottom" wrapText="1"/>
    </xf>
    <xf borderId="0" fillId="4" fontId="1" numFmtId="0" xfId="0" applyAlignment="1" applyFont="1">
      <alignment horizontal="right" shrinkToFit="0" vertical="bottom" wrapText="1"/>
    </xf>
    <xf borderId="0" fillId="5" fontId="2" numFmtId="0" xfId="0" applyAlignment="1" applyFill="1" applyFont="1">
      <alignment horizontal="right"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5" fontId="2" numFmtId="164" xfId="0" applyAlignment="1" applyFont="1" applyNumberFormat="1">
      <alignment horizontal="right" shrinkToFit="0" vertical="bottom" wrapText="1"/>
    </xf>
    <xf borderId="0" fillId="5" fontId="2" numFmtId="164" xfId="0" applyAlignment="1" applyFont="1" applyNumberFormat="1">
      <alignment shrinkToFit="0" wrapText="1"/>
    </xf>
    <xf borderId="0" fillId="6" fontId="1" numFmtId="0" xfId="0" applyAlignment="1" applyFill="1" applyFont="1">
      <alignment horizontal="right" readingOrder="0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6" fontId="1" numFmtId="4" xfId="0" applyAlignment="1" applyFont="1" applyNumberFormat="1">
      <alignment shrinkToFit="0" wrapText="1"/>
    </xf>
    <xf borderId="0" fillId="7" fontId="1" numFmtId="0" xfId="0" applyAlignment="1" applyFill="1" applyFont="1">
      <alignment horizontal="right" readingOrder="0" shrinkToFit="0" vertical="bottom" wrapText="1"/>
    </xf>
    <xf borderId="0" fillId="3" fontId="1" numFmtId="0" xfId="0" applyAlignment="1" applyFont="1">
      <alignment readingOrder="0" shrinkToFit="0" wrapText="1"/>
    </xf>
    <xf borderId="0" fillId="7" fontId="1" numFmtId="0" xfId="0" applyAlignment="1" applyFont="1">
      <alignment shrinkToFit="0" wrapText="1"/>
    </xf>
    <xf borderId="0" fillId="5" fontId="1" numFmtId="0" xfId="0" applyAlignment="1" applyFont="1">
      <alignment horizontal="right"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5" fontId="1" numFmtId="165" xfId="0" applyAlignment="1" applyFont="1" applyNumberFormat="1">
      <alignment shrinkToFit="0" wrapText="1"/>
    </xf>
    <xf borderId="0" fillId="6" fontId="3" numFmtId="0" xfId="0" applyAlignment="1" applyFont="1">
      <alignment horizontal="right" shrinkToFit="0" vertical="bottom" wrapText="1"/>
    </xf>
    <xf borderId="0" fillId="3" fontId="1" numFmtId="165" xfId="0" applyAlignment="1" applyFont="1" applyNumberFormat="1">
      <alignment shrinkToFit="0" wrapText="1"/>
    </xf>
    <xf borderId="0" fillId="8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  <xf borderId="0" fillId="3" fontId="4" numFmtId="49" xfId="0" applyAlignment="1" applyFont="1" applyNumberFormat="1">
      <alignment horizontal="right" shrinkToFit="0" vertical="bottom" wrapText="1"/>
    </xf>
    <xf borderId="0" fillId="5" fontId="1" numFmtId="0" xfId="0" applyAlignment="1" applyFont="1">
      <alignment readingOrder="0" shrinkToFit="0" wrapText="1"/>
    </xf>
    <xf borderId="0" fillId="6" fontId="1" numFmtId="0" xfId="0" applyAlignment="1" applyFont="1">
      <alignment readingOrder="0" shrinkToFit="0" wrapText="1"/>
    </xf>
    <xf borderId="0" fillId="6" fontId="4" numFmtId="0" xfId="0" applyAlignment="1" applyFont="1">
      <alignment horizontal="right" shrinkToFit="0" vertical="bottom" wrapText="1"/>
    </xf>
    <xf borderId="0" fillId="10" fontId="1" numFmtId="0" xfId="0" applyAlignment="1" applyFill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10" fontId="5" numFmtId="164" xfId="0" applyAlignment="1" applyFont="1" applyNumberFormat="1">
      <alignment horizontal="right" readingOrder="0" shrinkToFit="0" vertical="bottom" wrapText="1"/>
    </xf>
    <xf borderId="0" fillId="10" fontId="1" numFmtId="165" xfId="0" applyAlignment="1" applyFont="1" applyNumberFormat="1">
      <alignment shrinkToFit="0" wrapText="1"/>
    </xf>
    <xf borderId="0" fillId="11" fontId="1" numFmtId="0" xfId="0" applyAlignment="1" applyFill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11" fontId="5" numFmtId="164" xfId="0" applyAlignment="1" applyFont="1" applyNumberFormat="1">
      <alignment horizontal="right" readingOrder="0" shrinkToFit="0" vertical="bottom" wrapText="1"/>
    </xf>
    <xf borderId="0" fillId="11" fontId="3" numFmtId="0" xfId="0" applyAlignment="1" applyFont="1">
      <alignment horizontal="right" shrinkToFit="0" vertical="bottom" wrapText="1"/>
    </xf>
    <xf borderId="0" fillId="3" fontId="5" numFmtId="164" xfId="0" applyAlignment="1" applyFont="1" applyNumberFormat="1">
      <alignment horizontal="right" shrinkToFit="0" vertical="bottom" wrapText="1"/>
    </xf>
    <xf borderId="0" fillId="1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1" numFmtId="49" xfId="0" applyAlignment="1" applyFont="1" applyNumberFormat="1">
      <alignment horizontal="right" shrinkToFit="0" vertical="bottom" wrapText="1"/>
    </xf>
    <xf borderId="0" fillId="3" fontId="1" numFmtId="164" xfId="0" applyAlignment="1" applyFont="1" applyNumberFormat="1">
      <alignment shrinkToFit="0" wrapText="1"/>
    </xf>
    <xf borderId="0" fillId="3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8.5"/>
    <col customWidth="1" min="2" max="2" width="12.0"/>
    <col customWidth="1" min="3" max="3" width="10.75"/>
    <col customWidth="1" min="4" max="4" width="10.5"/>
    <col customWidth="1" min="5" max="5" width="11.0"/>
    <col customWidth="1" min="6" max="6" width="10.63"/>
    <col customWidth="1" min="7" max="7" width="11.25"/>
    <col customWidth="1" min="8" max="8" width="10.63"/>
    <col customWidth="1" min="9" max="9" width="11.0"/>
    <col customWidth="1" min="10" max="10" width="11.38"/>
    <col customWidth="1" min="11" max="11" width="11.5"/>
    <col customWidth="1" min="12" max="12" width="11.13"/>
  </cols>
  <sheetData>
    <row r="1">
      <c r="A1" s="1" t="s">
        <v>0</v>
      </c>
      <c r="C1" s="2"/>
      <c r="D1" s="2"/>
      <c r="E1" s="2"/>
      <c r="F1" s="2"/>
      <c r="G1" s="2"/>
      <c r="H1" s="3"/>
      <c r="I1" s="4"/>
      <c r="J1" s="4"/>
      <c r="K1" s="4"/>
    </row>
    <row r="2">
      <c r="A2" s="5" t="s">
        <v>1</v>
      </c>
      <c r="B2" s="5" t="s">
        <v>2</v>
      </c>
      <c r="H2" s="3"/>
      <c r="I2" s="4"/>
      <c r="J2" s="4"/>
      <c r="K2" s="4"/>
    </row>
    <row r="3">
      <c r="A3" s="5" t="s">
        <v>3</v>
      </c>
      <c r="B3" s="5" t="s">
        <v>4</v>
      </c>
      <c r="C3" s="2"/>
      <c r="D3" s="2"/>
      <c r="E3" s="2"/>
      <c r="F3" s="2"/>
      <c r="G3" s="2"/>
      <c r="H3" s="3"/>
      <c r="I3" s="4"/>
      <c r="J3" s="4"/>
      <c r="K3" s="4"/>
    </row>
    <row r="4">
      <c r="A4" s="6" t="s">
        <v>5</v>
      </c>
      <c r="B4" s="7">
        <f>B2 / B3</f>
        <v>6</v>
      </c>
      <c r="H4" s="3"/>
      <c r="I4" s="4"/>
      <c r="J4" s="4"/>
      <c r="K4" s="4"/>
    </row>
    <row r="5">
      <c r="C5" s="2"/>
      <c r="D5" s="2"/>
      <c r="E5" s="2"/>
      <c r="F5" s="2"/>
      <c r="G5" s="2"/>
      <c r="H5" s="3"/>
      <c r="I5" s="3"/>
      <c r="J5" s="4"/>
      <c r="K5" s="4"/>
    </row>
    <row r="6">
      <c r="A6" s="8" t="s">
        <v>6</v>
      </c>
      <c r="B6" s="9" t="s">
        <v>7</v>
      </c>
      <c r="C6" s="10">
        <f>B4 + 1</f>
        <v>7</v>
      </c>
      <c r="D6" s="10">
        <f>B4 + 2</f>
        <v>8</v>
      </c>
      <c r="E6" s="10">
        <f>B4 + 3</f>
        <v>9</v>
      </c>
      <c r="F6" s="10">
        <f>B4 + 4</f>
        <v>10</v>
      </c>
      <c r="G6" s="10">
        <f>B4 + 5</f>
        <v>11</v>
      </c>
      <c r="H6" s="11">
        <f>B4 + 6</f>
        <v>12</v>
      </c>
      <c r="I6" s="11">
        <f>B4 + 7</f>
        <v>13</v>
      </c>
      <c r="J6" s="11">
        <f>B4 + 8</f>
        <v>14</v>
      </c>
      <c r="K6" s="11">
        <f>B4 + 9</f>
        <v>15</v>
      </c>
      <c r="L6" s="11">
        <f>B4 + 10</f>
        <v>16</v>
      </c>
    </row>
    <row r="7">
      <c r="A7" s="12" t="s">
        <v>8</v>
      </c>
      <c r="B7" s="13" t="str">
        <f>B3</f>
        <v>3000</v>
      </c>
      <c r="C7" s="14">
        <f t="shared" ref="C7:L7" si="1">$B2 / (C6 - 0.5)</f>
        <v>2769.230769</v>
      </c>
      <c r="D7" s="14">
        <f t="shared" si="1"/>
        <v>2400</v>
      </c>
      <c r="E7" s="14">
        <f t="shared" si="1"/>
        <v>2117.647059</v>
      </c>
      <c r="F7" s="14">
        <f t="shared" si="1"/>
        <v>1894.736842</v>
      </c>
      <c r="G7" s="14">
        <f t="shared" si="1"/>
        <v>1714.285714</v>
      </c>
      <c r="H7" s="14">
        <f t="shared" si="1"/>
        <v>1565.217391</v>
      </c>
      <c r="I7" s="14">
        <f t="shared" si="1"/>
        <v>1440</v>
      </c>
      <c r="J7" s="14">
        <f t="shared" si="1"/>
        <v>1333.333333</v>
      </c>
      <c r="K7" s="14">
        <f t="shared" si="1"/>
        <v>1241.37931</v>
      </c>
      <c r="L7" s="14">
        <f t="shared" si="1"/>
        <v>1161.290323</v>
      </c>
    </row>
    <row r="8">
      <c r="A8" s="15" t="s">
        <v>9</v>
      </c>
      <c r="B8" s="16">
        <v>0.0</v>
      </c>
      <c r="C8" s="17">
        <f t="shared" ref="C8:L8" si="2">IF(MOD($B2, ROUND(C7, 1)) / C7 = 0.5, IF(ISEVEN($B2 / C7), FLOOR(C7 - 1, 1) + 0.4999, FLOOR(C7, 1) + 0.4999), FLOOR(C7, 1) + 0.4999)</f>
        <v>2769.4999</v>
      </c>
      <c r="D8" s="17">
        <f t="shared" si="2"/>
        <v>2400.4999</v>
      </c>
      <c r="E8" s="17">
        <f t="shared" si="2"/>
        <v>2117.4999</v>
      </c>
      <c r="F8" s="17">
        <f t="shared" si="2"/>
        <v>1894.4999</v>
      </c>
      <c r="G8" s="17">
        <f t="shared" si="2"/>
        <v>1714.4999</v>
      </c>
      <c r="H8" s="17">
        <f t="shared" si="2"/>
        <v>1565.4999</v>
      </c>
      <c r="I8" s="17">
        <f t="shared" si="2"/>
        <v>1439.4999</v>
      </c>
      <c r="J8" s="17">
        <f t="shared" si="2"/>
        <v>1333.4999</v>
      </c>
      <c r="K8" s="17">
        <f t="shared" si="2"/>
        <v>1241.4999</v>
      </c>
      <c r="L8" s="17">
        <f t="shared" si="2"/>
        <v>1161.4999</v>
      </c>
    </row>
    <row r="9">
      <c r="A9" s="18" t="s">
        <v>10</v>
      </c>
      <c r="B9" s="19">
        <v>0.0</v>
      </c>
      <c r="C9" s="20">
        <f t="shared" ref="C9:L9" si="3">$B3 / C8 - 1</f>
        <v>0.08322805861</v>
      </c>
      <c r="D9" s="20">
        <f t="shared" si="3"/>
        <v>0.2497396896</v>
      </c>
      <c r="E9" s="20">
        <f t="shared" si="3"/>
        <v>0.41676512</v>
      </c>
      <c r="F9" s="20">
        <f t="shared" si="3"/>
        <v>0.5835313583</v>
      </c>
      <c r="G9" s="20">
        <f t="shared" si="3"/>
        <v>0.7497813794</v>
      </c>
      <c r="H9" s="20">
        <f t="shared" si="3"/>
        <v>0.9163207867</v>
      </c>
      <c r="I9" s="20">
        <f t="shared" si="3"/>
        <v>1.084057109</v>
      </c>
      <c r="J9" s="20">
        <f t="shared" si="3"/>
        <v>1.249718954</v>
      </c>
      <c r="K9" s="20">
        <f t="shared" si="3"/>
        <v>1.41643193</v>
      </c>
      <c r="L9" s="20">
        <f t="shared" si="3"/>
        <v>1.582867205</v>
      </c>
    </row>
    <row r="10">
      <c r="A10" s="12" t="s">
        <v>11</v>
      </c>
      <c r="B10" s="19">
        <v>0.0</v>
      </c>
      <c r="C10" s="21">
        <f t="shared" ref="C10:L10" si="4">CEILING(42500 * C9, 1)</f>
        <v>3538</v>
      </c>
      <c r="D10" s="21">
        <f t="shared" si="4"/>
        <v>10614</v>
      </c>
      <c r="E10" s="21">
        <f t="shared" si="4"/>
        <v>17713</v>
      </c>
      <c r="F10" s="21">
        <f t="shared" si="4"/>
        <v>24801</v>
      </c>
      <c r="G10" s="21">
        <f t="shared" si="4"/>
        <v>31866</v>
      </c>
      <c r="H10" s="21">
        <f t="shared" si="4"/>
        <v>38944</v>
      </c>
      <c r="I10" s="21">
        <f t="shared" si="4"/>
        <v>46073</v>
      </c>
      <c r="J10" s="21">
        <f t="shared" si="4"/>
        <v>53114</v>
      </c>
      <c r="K10" s="21">
        <f t="shared" si="4"/>
        <v>60199</v>
      </c>
      <c r="L10" s="21">
        <f t="shared" si="4"/>
        <v>67272</v>
      </c>
    </row>
    <row r="11">
      <c r="I11" s="22"/>
      <c r="J11" s="22"/>
      <c r="K11" s="22"/>
      <c r="L11" s="22"/>
    </row>
    <row r="12">
      <c r="A12" s="23" t="s">
        <v>12</v>
      </c>
      <c r="B12" s="24" t="s">
        <v>13</v>
      </c>
      <c r="I12" s="25"/>
      <c r="J12" s="25"/>
      <c r="K12" s="25"/>
      <c r="L12" s="25"/>
    </row>
    <row r="13">
      <c r="A13" s="26" t="s">
        <v>14</v>
      </c>
      <c r="B13" s="19">
        <v>1.05</v>
      </c>
      <c r="C13" s="20">
        <f t="shared" ref="C13:L13" si="5">(C9 + 1) / $B13 - 1</f>
        <v>0.03164577011</v>
      </c>
      <c r="D13" s="20">
        <f t="shared" si="5"/>
        <v>0.1902282758</v>
      </c>
      <c r="E13" s="20">
        <f t="shared" si="5"/>
        <v>0.3493001143</v>
      </c>
      <c r="F13" s="20">
        <f t="shared" si="5"/>
        <v>0.5081251032</v>
      </c>
      <c r="G13" s="20">
        <f t="shared" si="5"/>
        <v>0.6664584566</v>
      </c>
      <c r="H13" s="20">
        <f t="shared" si="5"/>
        <v>0.8250674159</v>
      </c>
      <c r="I13" s="20">
        <f t="shared" si="5"/>
        <v>0.9848162943</v>
      </c>
      <c r="J13" s="20">
        <f t="shared" si="5"/>
        <v>1.14258948</v>
      </c>
      <c r="K13" s="20">
        <f t="shared" si="5"/>
        <v>1.301363743</v>
      </c>
      <c r="L13" s="20">
        <f t="shared" si="5"/>
        <v>1.459873528</v>
      </c>
    </row>
    <row r="14">
      <c r="A14" s="27" t="s">
        <v>15</v>
      </c>
      <c r="C14" s="28">
        <f t="shared" ref="C14:L14" si="6">CEILING(C13 * 42500, 1)</f>
        <v>1345</v>
      </c>
      <c r="D14" s="28">
        <f t="shared" si="6"/>
        <v>8085</v>
      </c>
      <c r="E14" s="28">
        <f t="shared" si="6"/>
        <v>14846</v>
      </c>
      <c r="F14" s="28">
        <f t="shared" si="6"/>
        <v>21596</v>
      </c>
      <c r="G14" s="28">
        <f t="shared" si="6"/>
        <v>28325</v>
      </c>
      <c r="H14" s="28">
        <f t="shared" si="6"/>
        <v>35066</v>
      </c>
      <c r="I14" s="28">
        <f t="shared" si="6"/>
        <v>41855</v>
      </c>
      <c r="J14" s="28">
        <f t="shared" si="6"/>
        <v>48561</v>
      </c>
      <c r="K14" s="28">
        <f t="shared" si="6"/>
        <v>55308</v>
      </c>
      <c r="L14" s="28">
        <f t="shared" si="6"/>
        <v>62045</v>
      </c>
    </row>
    <row r="15">
      <c r="A15" s="29" t="s">
        <v>16</v>
      </c>
      <c r="B15" s="30">
        <f>1.3</f>
        <v>1.3</v>
      </c>
      <c r="C15" s="31" t="s">
        <v>17</v>
      </c>
      <c r="D15" s="31" t="s">
        <v>17</v>
      </c>
      <c r="E15" s="32">
        <f t="shared" ref="E15:L15" si="7">(E9 + 1) / $B15 - 1</f>
        <v>0.0898193231</v>
      </c>
      <c r="F15" s="32">
        <f t="shared" si="7"/>
        <v>0.2181010449</v>
      </c>
      <c r="G15" s="32">
        <f t="shared" si="7"/>
        <v>0.3459856765</v>
      </c>
      <c r="H15" s="32">
        <f t="shared" si="7"/>
        <v>0.4740929129</v>
      </c>
      <c r="I15" s="32">
        <f t="shared" si="7"/>
        <v>0.6031208531</v>
      </c>
      <c r="J15" s="32">
        <f t="shared" si="7"/>
        <v>0.7305530414</v>
      </c>
      <c r="K15" s="32">
        <f t="shared" si="7"/>
        <v>0.8587937926</v>
      </c>
      <c r="L15" s="32">
        <f t="shared" si="7"/>
        <v>0.9868209267</v>
      </c>
    </row>
    <row r="16">
      <c r="A16" s="33" t="s">
        <v>15</v>
      </c>
      <c r="B16" s="34"/>
      <c r="C16" s="35" t="s">
        <v>17</v>
      </c>
      <c r="D16" s="35" t="s">
        <v>17</v>
      </c>
      <c r="E16" s="36">
        <f t="shared" ref="E16:L16" si="8">CEILING(E15 * 42500, 1)</f>
        <v>3818</v>
      </c>
      <c r="F16" s="36">
        <f t="shared" si="8"/>
        <v>9270</v>
      </c>
      <c r="G16" s="36">
        <f t="shared" si="8"/>
        <v>14705</v>
      </c>
      <c r="H16" s="36">
        <f t="shared" si="8"/>
        <v>20149</v>
      </c>
      <c r="I16" s="36">
        <f t="shared" si="8"/>
        <v>25633</v>
      </c>
      <c r="J16" s="36">
        <f t="shared" si="8"/>
        <v>31049</v>
      </c>
      <c r="K16" s="36">
        <f t="shared" si="8"/>
        <v>36499</v>
      </c>
      <c r="L16" s="36">
        <f t="shared" si="8"/>
        <v>41940</v>
      </c>
    </row>
    <row r="17">
      <c r="A17" s="29" t="s">
        <v>18</v>
      </c>
      <c r="B17" s="30">
        <f>1.3 * 1.05</f>
        <v>1.365</v>
      </c>
      <c r="C17" s="31" t="s">
        <v>17</v>
      </c>
      <c r="D17" s="31" t="s">
        <v>17</v>
      </c>
      <c r="E17" s="32">
        <f t="shared" ref="E17:L17" si="9">(E9 + 1) / $B17 - 1</f>
        <v>0.03792316486</v>
      </c>
      <c r="F17" s="32">
        <f t="shared" si="9"/>
        <v>0.1600962332</v>
      </c>
      <c r="G17" s="32">
        <f t="shared" si="9"/>
        <v>0.2818911204</v>
      </c>
      <c r="H17" s="32">
        <f t="shared" si="9"/>
        <v>0.4038980123</v>
      </c>
      <c r="I17" s="32">
        <f t="shared" si="9"/>
        <v>0.5267817648</v>
      </c>
      <c r="J17" s="32">
        <f t="shared" si="9"/>
        <v>0.6481457537</v>
      </c>
      <c r="K17" s="32">
        <f t="shared" si="9"/>
        <v>0.7702798025</v>
      </c>
      <c r="L17" s="32">
        <f t="shared" si="9"/>
        <v>0.8922104064</v>
      </c>
    </row>
    <row r="18">
      <c r="A18" s="33" t="s">
        <v>15</v>
      </c>
      <c r="B18" s="34"/>
      <c r="C18" s="35" t="s">
        <v>17</v>
      </c>
      <c r="D18" s="35" t="s">
        <v>17</v>
      </c>
      <c r="E18" s="36">
        <f t="shared" ref="E18:L18" si="10">CEILING(E17 * 42500, 1)</f>
        <v>1612</v>
      </c>
      <c r="F18" s="36">
        <f t="shared" si="10"/>
        <v>6805</v>
      </c>
      <c r="G18" s="36">
        <f t="shared" si="10"/>
        <v>11981</v>
      </c>
      <c r="H18" s="36">
        <f t="shared" si="10"/>
        <v>17166</v>
      </c>
      <c r="I18" s="36">
        <f t="shared" si="10"/>
        <v>22389</v>
      </c>
      <c r="J18" s="36">
        <f t="shared" si="10"/>
        <v>27547</v>
      </c>
      <c r="K18" s="36">
        <f t="shared" si="10"/>
        <v>32737</v>
      </c>
      <c r="L18" s="36">
        <f t="shared" si="10"/>
        <v>37919</v>
      </c>
    </row>
    <row r="19">
      <c r="A19" s="34"/>
      <c r="B19" s="34"/>
      <c r="C19" s="37"/>
      <c r="D19" s="37"/>
      <c r="E19" s="22"/>
      <c r="F19" s="22"/>
      <c r="G19" s="22"/>
      <c r="H19" s="22"/>
      <c r="I19" s="22"/>
      <c r="J19" s="22"/>
      <c r="K19" s="22"/>
      <c r="L19" s="22"/>
    </row>
    <row r="20">
      <c r="A20" s="38" t="s">
        <v>19</v>
      </c>
      <c r="B20" s="24" t="s">
        <v>13</v>
      </c>
    </row>
    <row r="21">
      <c r="A21" s="26" t="s">
        <v>14</v>
      </c>
      <c r="B21" s="39">
        <f>1.05 * 1.01</f>
        <v>1.0605</v>
      </c>
      <c r="C21" s="20">
        <f t="shared" ref="C21:L21" si="11">(C9 + 1) / $B21 - 1</f>
        <v>0.02143145555</v>
      </c>
      <c r="D21" s="20">
        <f t="shared" si="11"/>
        <v>0.1784438375</v>
      </c>
      <c r="E21" s="20">
        <f t="shared" si="11"/>
        <v>0.3359407072</v>
      </c>
      <c r="F21" s="20">
        <f t="shared" si="11"/>
        <v>0.4931931715</v>
      </c>
      <c r="G21" s="20">
        <f t="shared" si="11"/>
        <v>0.6499588679</v>
      </c>
      <c r="H21" s="20">
        <f t="shared" si="11"/>
        <v>0.8069974415</v>
      </c>
      <c r="I21" s="20">
        <f t="shared" si="11"/>
        <v>0.9651646478</v>
      </c>
      <c r="J21" s="20">
        <f t="shared" si="11"/>
        <v>1.121375723</v>
      </c>
      <c r="K21" s="20">
        <f t="shared" si="11"/>
        <v>1.278577964</v>
      </c>
      <c r="L21" s="20">
        <f t="shared" si="11"/>
        <v>1.435518345</v>
      </c>
    </row>
    <row r="22">
      <c r="A22" s="27" t="s">
        <v>15</v>
      </c>
      <c r="C22" s="28">
        <f t="shared" ref="C22:L22" si="12">CEILING(C21 * 42500, 1)</f>
        <v>911</v>
      </c>
      <c r="D22" s="28">
        <f t="shared" si="12"/>
        <v>7584</v>
      </c>
      <c r="E22" s="28">
        <f t="shared" si="12"/>
        <v>14278</v>
      </c>
      <c r="F22" s="28">
        <f t="shared" si="12"/>
        <v>20961</v>
      </c>
      <c r="G22" s="28">
        <f t="shared" si="12"/>
        <v>27624</v>
      </c>
      <c r="H22" s="28">
        <f t="shared" si="12"/>
        <v>34298</v>
      </c>
      <c r="I22" s="28">
        <f t="shared" si="12"/>
        <v>41020</v>
      </c>
      <c r="J22" s="28">
        <f t="shared" si="12"/>
        <v>47659</v>
      </c>
      <c r="K22" s="28">
        <f t="shared" si="12"/>
        <v>54340</v>
      </c>
      <c r="L22" s="28">
        <f t="shared" si="12"/>
        <v>61010</v>
      </c>
    </row>
    <row r="23">
      <c r="A23" s="29" t="s">
        <v>16</v>
      </c>
      <c r="B23" s="30">
        <f>1.3 * 1.01</f>
        <v>1.313</v>
      </c>
      <c r="C23" s="31" t="s">
        <v>17</v>
      </c>
      <c r="D23" s="31" t="s">
        <v>17</v>
      </c>
      <c r="E23" s="32">
        <f t="shared" ref="E23:L23" si="13">(E9 + 1) / $B23 - 1</f>
        <v>0.07902903278</v>
      </c>
      <c r="F23" s="32">
        <f t="shared" si="13"/>
        <v>0.2060406385</v>
      </c>
      <c r="G23" s="32">
        <f t="shared" si="13"/>
        <v>0.3326590856</v>
      </c>
      <c r="H23" s="32">
        <f t="shared" si="13"/>
        <v>0.4594979335</v>
      </c>
      <c r="I23" s="32">
        <f t="shared" si="13"/>
        <v>0.5872483694</v>
      </c>
      <c r="J23" s="32">
        <f t="shared" si="13"/>
        <v>0.7134188529</v>
      </c>
      <c r="K23" s="32">
        <f t="shared" si="13"/>
        <v>0.8403898937</v>
      </c>
      <c r="L23" s="32">
        <f t="shared" si="13"/>
        <v>0.9671494324</v>
      </c>
    </row>
    <row r="24">
      <c r="A24" s="33" t="s">
        <v>15</v>
      </c>
      <c r="B24" s="34"/>
      <c r="C24" s="35" t="s">
        <v>17</v>
      </c>
      <c r="D24" s="35" t="s">
        <v>17</v>
      </c>
      <c r="E24" s="36">
        <f t="shared" ref="E24:L24" si="14">CEILING(E23 * 42500, 1)</f>
        <v>3359</v>
      </c>
      <c r="F24" s="36">
        <f t="shared" si="14"/>
        <v>8757</v>
      </c>
      <c r="G24" s="36">
        <f t="shared" si="14"/>
        <v>14139</v>
      </c>
      <c r="H24" s="36">
        <f t="shared" si="14"/>
        <v>19529</v>
      </c>
      <c r="I24" s="36">
        <f t="shared" si="14"/>
        <v>24959</v>
      </c>
      <c r="J24" s="36">
        <f t="shared" si="14"/>
        <v>30321</v>
      </c>
      <c r="K24" s="36">
        <f t="shared" si="14"/>
        <v>35717</v>
      </c>
      <c r="L24" s="36">
        <f t="shared" si="14"/>
        <v>41104</v>
      </c>
    </row>
    <row r="25">
      <c r="A25" s="29" t="s">
        <v>18</v>
      </c>
      <c r="B25" s="30">
        <f>1.3 * 1.05 * 1.01</f>
        <v>1.37865</v>
      </c>
      <c r="C25" s="31" t="s">
        <v>17</v>
      </c>
      <c r="D25" s="31" t="s">
        <v>17</v>
      </c>
      <c r="E25" s="32">
        <f t="shared" ref="E25:L25" si="15">(E9 + 1) / $B25 - 1</f>
        <v>0.02764669788</v>
      </c>
      <c r="F25" s="32">
        <f t="shared" si="15"/>
        <v>0.1486101319</v>
      </c>
      <c r="G25" s="32">
        <f t="shared" si="15"/>
        <v>0.2691991291</v>
      </c>
      <c r="H25" s="32">
        <f t="shared" si="15"/>
        <v>0.3899980319</v>
      </c>
      <c r="I25" s="32">
        <f t="shared" si="15"/>
        <v>0.5116651137</v>
      </c>
      <c r="J25" s="32">
        <f t="shared" si="15"/>
        <v>0.631827479</v>
      </c>
      <c r="K25" s="32">
        <f t="shared" si="15"/>
        <v>0.7527522797</v>
      </c>
      <c r="L25" s="32">
        <f t="shared" si="15"/>
        <v>0.8734756499</v>
      </c>
    </row>
    <row r="26">
      <c r="A26" s="33" t="s">
        <v>15</v>
      </c>
      <c r="B26" s="34"/>
      <c r="C26" s="35" t="s">
        <v>17</v>
      </c>
      <c r="D26" s="35" t="s">
        <v>17</v>
      </c>
      <c r="E26" s="36">
        <f t="shared" ref="E26:L26" si="16">CEILING(E25 * 42500, 1)</f>
        <v>1175</v>
      </c>
      <c r="F26" s="36">
        <f t="shared" si="16"/>
        <v>6316</v>
      </c>
      <c r="G26" s="36">
        <f t="shared" si="16"/>
        <v>11441</v>
      </c>
      <c r="H26" s="36">
        <f t="shared" si="16"/>
        <v>16575</v>
      </c>
      <c r="I26" s="36">
        <f t="shared" si="16"/>
        <v>21746</v>
      </c>
      <c r="J26" s="36">
        <f t="shared" si="16"/>
        <v>26853</v>
      </c>
      <c r="K26" s="36">
        <f t="shared" si="16"/>
        <v>31992</v>
      </c>
      <c r="L26" s="36">
        <f t="shared" si="16"/>
        <v>37123</v>
      </c>
    </row>
    <row r="27">
      <c r="A27" s="34"/>
      <c r="B27" s="34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>
      <c r="A28" s="34"/>
      <c r="B28" s="34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>
      <c r="A29" s="1" t="s">
        <v>20</v>
      </c>
      <c r="C29" s="2"/>
      <c r="D29" s="2"/>
      <c r="E29" s="2"/>
      <c r="F29" s="2"/>
      <c r="G29" s="2"/>
      <c r="H29" s="3"/>
      <c r="I29" s="4"/>
      <c r="J29" s="4"/>
      <c r="K29" s="4"/>
    </row>
    <row r="30">
      <c r="A30" s="5" t="s">
        <v>1</v>
      </c>
      <c r="B30" s="5" t="s">
        <v>21</v>
      </c>
      <c r="H30" s="3"/>
      <c r="I30" s="4"/>
      <c r="J30" s="4"/>
      <c r="K30" s="4"/>
    </row>
    <row r="31">
      <c r="A31" s="5" t="s">
        <v>3</v>
      </c>
      <c r="B31" s="5" t="s">
        <v>4</v>
      </c>
      <c r="C31" s="2"/>
      <c r="D31" s="2"/>
      <c r="E31" s="2"/>
      <c r="F31" s="2"/>
      <c r="G31" s="2"/>
      <c r="H31" s="3"/>
      <c r="I31" s="4"/>
      <c r="J31" s="4"/>
      <c r="K31" s="4"/>
    </row>
    <row r="32">
      <c r="A32" s="6" t="s">
        <v>5</v>
      </c>
      <c r="B32" s="7">
        <f>B30 / B31</f>
        <v>5</v>
      </c>
      <c r="H32" s="3"/>
      <c r="I32" s="4"/>
      <c r="J32" s="4"/>
      <c r="K32" s="4"/>
    </row>
    <row r="33">
      <c r="C33" s="2"/>
      <c r="D33" s="2"/>
      <c r="E33" s="2"/>
      <c r="F33" s="2"/>
      <c r="G33" s="2"/>
      <c r="H33" s="3"/>
      <c r="I33" s="3"/>
      <c r="J33" s="4"/>
      <c r="K33" s="4"/>
    </row>
    <row r="34">
      <c r="A34" s="8" t="s">
        <v>6</v>
      </c>
      <c r="B34" s="9" t="s">
        <v>7</v>
      </c>
      <c r="C34" s="10">
        <f>B32 + 1</f>
        <v>6</v>
      </c>
      <c r="D34" s="10">
        <f>B32 + 2</f>
        <v>7</v>
      </c>
      <c r="E34" s="10">
        <f>B32 + 3</f>
        <v>8</v>
      </c>
      <c r="F34" s="10">
        <f>B32 + 4</f>
        <v>9</v>
      </c>
      <c r="G34" s="10">
        <f>B32 + 5</f>
        <v>10</v>
      </c>
      <c r="H34" s="11">
        <f>B32 + 6</f>
        <v>11</v>
      </c>
      <c r="I34" s="11">
        <f>B32 + 7</f>
        <v>12</v>
      </c>
      <c r="J34" s="11">
        <f>B32 + 8</f>
        <v>13</v>
      </c>
      <c r="K34" s="11">
        <f>B32 + 9</f>
        <v>14</v>
      </c>
      <c r="L34" s="11">
        <f>B32 + 10</f>
        <v>15</v>
      </c>
    </row>
    <row r="35">
      <c r="A35" s="12" t="s">
        <v>8</v>
      </c>
      <c r="B35" s="13" t="str">
        <f>B31</f>
        <v>3000</v>
      </c>
      <c r="C35" s="14">
        <f t="shared" ref="C35:L35" si="17">$B30 / (C34 - 0.5)</f>
        <v>2727.272727</v>
      </c>
      <c r="D35" s="14">
        <f t="shared" si="17"/>
        <v>2307.692308</v>
      </c>
      <c r="E35" s="14">
        <f t="shared" si="17"/>
        <v>2000</v>
      </c>
      <c r="F35" s="14">
        <f t="shared" si="17"/>
        <v>1764.705882</v>
      </c>
      <c r="G35" s="14">
        <f t="shared" si="17"/>
        <v>1578.947368</v>
      </c>
      <c r="H35" s="14">
        <f t="shared" si="17"/>
        <v>1428.571429</v>
      </c>
      <c r="I35" s="14">
        <f t="shared" si="17"/>
        <v>1304.347826</v>
      </c>
      <c r="J35" s="14">
        <f t="shared" si="17"/>
        <v>1200</v>
      </c>
      <c r="K35" s="14">
        <f t="shared" si="17"/>
        <v>1111.111111</v>
      </c>
      <c r="L35" s="14">
        <f t="shared" si="17"/>
        <v>1034.482759</v>
      </c>
    </row>
    <row r="36">
      <c r="A36" s="15" t="s">
        <v>9</v>
      </c>
      <c r="B36" s="16">
        <v>0.0</v>
      </c>
      <c r="C36" s="17">
        <f t="shared" ref="C36:L36" si="18">IF(MOD($B30, ROUND(C35, 1)) / C35 = 0.5, IF(ISEVEN($B30 / C35), FLOOR(C35 - 1, 1) + 0.4999, FLOOR(C35, 1) + 0.4999), FLOOR(C35, 1) + 0.4999)</f>
        <v>2727.4999</v>
      </c>
      <c r="D36" s="17">
        <f t="shared" si="18"/>
        <v>2307.4999</v>
      </c>
      <c r="E36" s="17">
        <f t="shared" si="18"/>
        <v>2000.4999</v>
      </c>
      <c r="F36" s="17">
        <f t="shared" si="18"/>
        <v>1764.4999</v>
      </c>
      <c r="G36" s="17">
        <f t="shared" si="18"/>
        <v>1578.4999</v>
      </c>
      <c r="H36" s="17">
        <f t="shared" si="18"/>
        <v>1428.4999</v>
      </c>
      <c r="I36" s="17">
        <f t="shared" si="18"/>
        <v>1304.4999</v>
      </c>
      <c r="J36" s="17">
        <f t="shared" si="18"/>
        <v>1199.4999</v>
      </c>
      <c r="K36" s="17">
        <f t="shared" si="18"/>
        <v>1111.4999</v>
      </c>
      <c r="L36" s="17">
        <f t="shared" si="18"/>
        <v>1034.4999</v>
      </c>
    </row>
    <row r="37">
      <c r="A37" s="18" t="s">
        <v>10</v>
      </c>
      <c r="B37" s="19">
        <v>0.0</v>
      </c>
      <c r="C37" s="20">
        <f t="shared" ref="C37:L37" si="19">$B31 / C36 - 1</f>
        <v>0.0999083813</v>
      </c>
      <c r="D37" s="20">
        <f t="shared" si="19"/>
        <v>0.3001083987</v>
      </c>
      <c r="E37" s="20">
        <f t="shared" si="19"/>
        <v>0.4996251687</v>
      </c>
      <c r="F37" s="20">
        <f t="shared" si="19"/>
        <v>0.7001984528</v>
      </c>
      <c r="G37" s="20">
        <f t="shared" si="19"/>
        <v>0.9005386063</v>
      </c>
      <c r="H37" s="20">
        <f t="shared" si="19"/>
        <v>1.100105152</v>
      </c>
      <c r="I37" s="20">
        <f t="shared" si="19"/>
        <v>1.299731874</v>
      </c>
      <c r="J37" s="20">
        <f t="shared" si="19"/>
        <v>1.501042309</v>
      </c>
      <c r="K37" s="20">
        <f t="shared" si="19"/>
        <v>1.699055573</v>
      </c>
      <c r="L37" s="20">
        <f t="shared" si="19"/>
        <v>1.899951948</v>
      </c>
    </row>
    <row r="38">
      <c r="A38" s="12" t="s">
        <v>11</v>
      </c>
      <c r="B38" s="19">
        <v>0.0</v>
      </c>
      <c r="C38" s="21">
        <f t="shared" ref="C38:L38" si="20">CEILING(42500 * C37, 1)</f>
        <v>4247</v>
      </c>
      <c r="D38" s="21">
        <f t="shared" si="20"/>
        <v>12755</v>
      </c>
      <c r="E38" s="21">
        <f t="shared" si="20"/>
        <v>21235</v>
      </c>
      <c r="F38" s="21">
        <f t="shared" si="20"/>
        <v>29759</v>
      </c>
      <c r="G38" s="21">
        <f t="shared" si="20"/>
        <v>38273</v>
      </c>
      <c r="H38" s="21">
        <f t="shared" si="20"/>
        <v>46755</v>
      </c>
      <c r="I38" s="21">
        <f t="shared" si="20"/>
        <v>55239</v>
      </c>
      <c r="J38" s="21">
        <f t="shared" si="20"/>
        <v>63795</v>
      </c>
      <c r="K38" s="21">
        <f t="shared" si="20"/>
        <v>72210</v>
      </c>
      <c r="L38" s="21">
        <f t="shared" si="20"/>
        <v>80748</v>
      </c>
    </row>
    <row r="39">
      <c r="I39" s="22"/>
      <c r="J39" s="22"/>
      <c r="K39" s="22"/>
      <c r="L39" s="22"/>
    </row>
    <row r="40">
      <c r="A40" s="23" t="s">
        <v>12</v>
      </c>
      <c r="B40" s="24" t="s">
        <v>13</v>
      </c>
      <c r="I40" s="25"/>
      <c r="J40" s="25"/>
      <c r="K40" s="25"/>
      <c r="L40" s="25"/>
    </row>
    <row r="41">
      <c r="A41" s="26" t="s">
        <v>14</v>
      </c>
      <c r="B41" s="19">
        <v>1.05</v>
      </c>
      <c r="C41" s="20">
        <f t="shared" ref="C41:L41" si="21">(C37 + 1) / $B41 - 1</f>
        <v>0.04753179171</v>
      </c>
      <c r="D41" s="20">
        <f t="shared" si="21"/>
        <v>0.238198475</v>
      </c>
      <c r="E41" s="20">
        <f t="shared" si="21"/>
        <v>0.4282144464</v>
      </c>
      <c r="F41" s="20">
        <f t="shared" si="21"/>
        <v>0.6192366217</v>
      </c>
      <c r="G41" s="20">
        <f t="shared" si="21"/>
        <v>0.8100367679</v>
      </c>
      <c r="H41" s="20">
        <f t="shared" si="21"/>
        <v>1.000100145</v>
      </c>
      <c r="I41" s="20">
        <f t="shared" si="21"/>
        <v>1.190220833</v>
      </c>
      <c r="J41" s="20">
        <f t="shared" si="21"/>
        <v>1.381945057</v>
      </c>
      <c r="K41" s="20">
        <f t="shared" si="21"/>
        <v>1.570529118</v>
      </c>
      <c r="L41" s="20">
        <f t="shared" si="21"/>
        <v>1.761858998</v>
      </c>
    </row>
    <row r="42">
      <c r="A42" s="27" t="s">
        <v>15</v>
      </c>
      <c r="C42" s="28">
        <f t="shared" ref="C42:L42" si="22">CEILING(C41 * 42500, 1)</f>
        <v>2021</v>
      </c>
      <c r="D42" s="28">
        <f t="shared" si="22"/>
        <v>10124</v>
      </c>
      <c r="E42" s="28">
        <f t="shared" si="22"/>
        <v>18200</v>
      </c>
      <c r="F42" s="28">
        <f t="shared" si="22"/>
        <v>26318</v>
      </c>
      <c r="G42" s="28">
        <f t="shared" si="22"/>
        <v>34427</v>
      </c>
      <c r="H42" s="28">
        <f t="shared" si="22"/>
        <v>42505</v>
      </c>
      <c r="I42" s="28">
        <f t="shared" si="22"/>
        <v>50585</v>
      </c>
      <c r="J42" s="28">
        <f t="shared" si="22"/>
        <v>58733</v>
      </c>
      <c r="K42" s="28">
        <f t="shared" si="22"/>
        <v>66748</v>
      </c>
      <c r="L42" s="28">
        <f t="shared" si="22"/>
        <v>74880</v>
      </c>
    </row>
    <row r="43">
      <c r="A43" s="29" t="s">
        <v>16</v>
      </c>
      <c r="B43" s="30">
        <f>1.3</f>
        <v>1.3</v>
      </c>
      <c r="C43" s="31" t="s">
        <v>17</v>
      </c>
      <c r="D43" s="31" t="s">
        <v>17</v>
      </c>
      <c r="E43" s="32">
        <f t="shared" ref="E43:L43" si="23">(E37 + 1) / $B43 - 1</f>
        <v>0.1535578221</v>
      </c>
      <c r="F43" s="32">
        <f t="shared" si="23"/>
        <v>0.3078449637</v>
      </c>
      <c r="G43" s="32">
        <f t="shared" si="23"/>
        <v>0.4619527741</v>
      </c>
      <c r="H43" s="32">
        <f t="shared" si="23"/>
        <v>0.6154655017</v>
      </c>
      <c r="I43" s="32">
        <f t="shared" si="23"/>
        <v>0.7690245187</v>
      </c>
      <c r="J43" s="32">
        <f t="shared" si="23"/>
        <v>0.9238786995</v>
      </c>
      <c r="K43" s="32">
        <f t="shared" si="23"/>
        <v>1.076196595</v>
      </c>
      <c r="L43" s="32">
        <f t="shared" si="23"/>
        <v>1.230732268</v>
      </c>
    </row>
    <row r="44">
      <c r="A44" s="33" t="s">
        <v>15</v>
      </c>
      <c r="B44" s="34"/>
      <c r="C44" s="35" t="s">
        <v>17</v>
      </c>
      <c r="D44" s="35" t="s">
        <v>17</v>
      </c>
      <c r="E44" s="36">
        <f t="shared" ref="E44:L44" si="24">CEILING(E43 * 42500, 1)</f>
        <v>6527</v>
      </c>
      <c r="F44" s="36">
        <f t="shared" si="24"/>
        <v>13084</v>
      </c>
      <c r="G44" s="36">
        <f t="shared" si="24"/>
        <v>19633</v>
      </c>
      <c r="H44" s="36">
        <f t="shared" si="24"/>
        <v>26158</v>
      </c>
      <c r="I44" s="36">
        <f t="shared" si="24"/>
        <v>32684</v>
      </c>
      <c r="J44" s="36">
        <f t="shared" si="24"/>
        <v>39265</v>
      </c>
      <c r="K44" s="36">
        <f t="shared" si="24"/>
        <v>45739</v>
      </c>
      <c r="L44" s="36">
        <f t="shared" si="24"/>
        <v>52307</v>
      </c>
    </row>
    <row r="45">
      <c r="A45" s="29" t="s">
        <v>18</v>
      </c>
      <c r="B45" s="30">
        <f>1.3 * 1.05</f>
        <v>1.365</v>
      </c>
      <c r="C45" s="31" t="s">
        <v>17</v>
      </c>
      <c r="D45" s="31" t="s">
        <v>17</v>
      </c>
      <c r="E45" s="32">
        <f t="shared" ref="E45:L45" si="25">(E37 + 1) / $B45 - 1</f>
        <v>0.09862649721</v>
      </c>
      <c r="F45" s="32">
        <f t="shared" si="25"/>
        <v>0.2455666321</v>
      </c>
      <c r="G45" s="32">
        <f t="shared" si="25"/>
        <v>0.3923359753</v>
      </c>
      <c r="H45" s="32">
        <f t="shared" si="25"/>
        <v>0.5385385731</v>
      </c>
      <c r="I45" s="32">
        <f t="shared" si="25"/>
        <v>0.6847852559</v>
      </c>
      <c r="J45" s="32">
        <f t="shared" si="25"/>
        <v>0.8322654281</v>
      </c>
      <c r="K45" s="32">
        <f t="shared" si="25"/>
        <v>0.9773300905</v>
      </c>
      <c r="L45" s="32">
        <f t="shared" si="25"/>
        <v>1.124506921</v>
      </c>
    </row>
    <row r="46">
      <c r="A46" s="33" t="s">
        <v>15</v>
      </c>
      <c r="B46" s="34"/>
      <c r="C46" s="35" t="s">
        <v>17</v>
      </c>
      <c r="D46" s="35" t="s">
        <v>17</v>
      </c>
      <c r="E46" s="36">
        <f t="shared" ref="E46:L46" si="26">CEILING(E45 * 42500, 1)</f>
        <v>4192</v>
      </c>
      <c r="F46" s="36">
        <f t="shared" si="26"/>
        <v>10437</v>
      </c>
      <c r="G46" s="36">
        <f t="shared" si="26"/>
        <v>16675</v>
      </c>
      <c r="H46" s="36">
        <f t="shared" si="26"/>
        <v>22888</v>
      </c>
      <c r="I46" s="36">
        <f t="shared" si="26"/>
        <v>29104</v>
      </c>
      <c r="J46" s="36">
        <f t="shared" si="26"/>
        <v>35372</v>
      </c>
      <c r="K46" s="36">
        <f t="shared" si="26"/>
        <v>41537</v>
      </c>
      <c r="L46" s="36">
        <f t="shared" si="26"/>
        <v>47792</v>
      </c>
    </row>
    <row r="47">
      <c r="A47" s="34"/>
      <c r="B47" s="34"/>
      <c r="C47" s="37"/>
      <c r="D47" s="37"/>
      <c r="E47" s="22"/>
      <c r="F47" s="22"/>
      <c r="G47" s="22"/>
      <c r="H47" s="22"/>
      <c r="I47" s="22"/>
      <c r="J47" s="22"/>
      <c r="K47" s="22"/>
      <c r="L47" s="22"/>
    </row>
    <row r="48">
      <c r="A48" s="38" t="s">
        <v>19</v>
      </c>
      <c r="B48" s="24" t="s">
        <v>13</v>
      </c>
    </row>
    <row r="49">
      <c r="A49" s="26" t="s">
        <v>14</v>
      </c>
      <c r="B49" s="39">
        <f>1.05 * 1.01</f>
        <v>1.0605</v>
      </c>
      <c r="C49" s="20">
        <f t="shared" ref="C49:L49" si="27">(C37 + 1) / $B49 - 1</f>
        <v>0.03716018981</v>
      </c>
      <c r="D49" s="20">
        <f t="shared" si="27"/>
        <v>0.2259390841</v>
      </c>
      <c r="E49" s="20">
        <f t="shared" si="27"/>
        <v>0.4140737093</v>
      </c>
      <c r="F49" s="20">
        <f t="shared" si="27"/>
        <v>0.603204576</v>
      </c>
      <c r="G49" s="20">
        <f t="shared" si="27"/>
        <v>0.7921156118</v>
      </c>
      <c r="H49" s="20">
        <f t="shared" si="27"/>
        <v>0.9802971733</v>
      </c>
      <c r="I49" s="20">
        <f t="shared" si="27"/>
        <v>1.168535478</v>
      </c>
      <c r="J49" s="20">
        <f t="shared" si="27"/>
        <v>1.358361442</v>
      </c>
      <c r="K49" s="20">
        <f t="shared" si="27"/>
        <v>1.545078334</v>
      </c>
      <c r="L49" s="20">
        <f t="shared" si="27"/>
        <v>1.734513859</v>
      </c>
    </row>
    <row r="50">
      <c r="A50" s="27" t="s">
        <v>15</v>
      </c>
      <c r="C50" s="28">
        <f t="shared" ref="C50:L50" si="28">CEILING(C49 * 42500, 1)</f>
        <v>1580</v>
      </c>
      <c r="D50" s="28">
        <f t="shared" si="28"/>
        <v>9603</v>
      </c>
      <c r="E50" s="28">
        <f t="shared" si="28"/>
        <v>17599</v>
      </c>
      <c r="F50" s="28">
        <f t="shared" si="28"/>
        <v>25637</v>
      </c>
      <c r="G50" s="28">
        <f t="shared" si="28"/>
        <v>33665</v>
      </c>
      <c r="H50" s="28">
        <f t="shared" si="28"/>
        <v>41663</v>
      </c>
      <c r="I50" s="28">
        <f t="shared" si="28"/>
        <v>49663</v>
      </c>
      <c r="J50" s="28">
        <f t="shared" si="28"/>
        <v>57731</v>
      </c>
      <c r="K50" s="28">
        <f t="shared" si="28"/>
        <v>65666</v>
      </c>
      <c r="L50" s="28">
        <f t="shared" si="28"/>
        <v>73717</v>
      </c>
    </row>
    <row r="51">
      <c r="A51" s="29" t="s">
        <v>16</v>
      </c>
      <c r="B51" s="30">
        <f>1.3 * 1.01</f>
        <v>1.313</v>
      </c>
      <c r="C51" s="31" t="s">
        <v>17</v>
      </c>
      <c r="D51" s="31" t="s">
        <v>17</v>
      </c>
      <c r="E51" s="32">
        <f t="shared" ref="E51:L51" si="29">(E37 + 1) / $B51 - 1</f>
        <v>0.1421364575</v>
      </c>
      <c r="F51" s="32">
        <f t="shared" si="29"/>
        <v>0.2948960037</v>
      </c>
      <c r="G51" s="32">
        <f t="shared" si="29"/>
        <v>0.4474779941</v>
      </c>
      <c r="H51" s="32">
        <f t="shared" si="29"/>
        <v>0.5994707938</v>
      </c>
      <c r="I51" s="32">
        <f t="shared" si="29"/>
        <v>0.7515094244</v>
      </c>
      <c r="J51" s="32">
        <f t="shared" si="29"/>
        <v>0.9048303956</v>
      </c>
      <c r="K51" s="32">
        <f t="shared" si="29"/>
        <v>1.055640193</v>
      </c>
      <c r="L51" s="32">
        <f t="shared" si="29"/>
        <v>1.208645809</v>
      </c>
    </row>
    <row r="52">
      <c r="A52" s="33" t="s">
        <v>15</v>
      </c>
      <c r="B52" s="34"/>
      <c r="C52" s="35" t="s">
        <v>17</v>
      </c>
      <c r="D52" s="35" t="s">
        <v>17</v>
      </c>
      <c r="E52" s="36">
        <f t="shared" ref="E52:L52" si="30">CEILING(E51 * 42500, 1)</f>
        <v>6041</v>
      </c>
      <c r="F52" s="36">
        <f t="shared" si="30"/>
        <v>12534</v>
      </c>
      <c r="G52" s="36">
        <f t="shared" si="30"/>
        <v>19018</v>
      </c>
      <c r="H52" s="36">
        <f t="shared" si="30"/>
        <v>25478</v>
      </c>
      <c r="I52" s="36">
        <f t="shared" si="30"/>
        <v>31940</v>
      </c>
      <c r="J52" s="36">
        <f t="shared" si="30"/>
        <v>38456</v>
      </c>
      <c r="K52" s="36">
        <f t="shared" si="30"/>
        <v>44865</v>
      </c>
      <c r="L52" s="36">
        <f t="shared" si="30"/>
        <v>51368</v>
      </c>
    </row>
    <row r="53">
      <c r="A53" s="29" t="s">
        <v>18</v>
      </c>
      <c r="B53" s="30">
        <f>1.3 * 1.05 * 1.01</f>
        <v>1.37865</v>
      </c>
      <c r="C53" s="31" t="s">
        <v>17</v>
      </c>
      <c r="D53" s="31" t="s">
        <v>17</v>
      </c>
      <c r="E53" s="32">
        <f t="shared" ref="E53:L53" si="31">(E37 + 1) / $B53 - 1</f>
        <v>0.08774900714</v>
      </c>
      <c r="F53" s="32">
        <f t="shared" si="31"/>
        <v>0.2332342892</v>
      </c>
      <c r="G53" s="32">
        <f t="shared" si="31"/>
        <v>0.3785504706</v>
      </c>
      <c r="H53" s="32">
        <f t="shared" si="31"/>
        <v>0.5233055179</v>
      </c>
      <c r="I53" s="32">
        <f t="shared" si="31"/>
        <v>0.6681042137</v>
      </c>
      <c r="J53" s="32">
        <f t="shared" si="31"/>
        <v>0.8141241863</v>
      </c>
      <c r="K53" s="32">
        <f t="shared" si="31"/>
        <v>0.9577525648</v>
      </c>
      <c r="L53" s="32">
        <f t="shared" si="31"/>
        <v>1.103472199</v>
      </c>
    </row>
    <row r="54">
      <c r="A54" s="33" t="s">
        <v>15</v>
      </c>
      <c r="B54" s="34"/>
      <c r="C54" s="35" t="s">
        <v>17</v>
      </c>
      <c r="D54" s="35" t="s">
        <v>17</v>
      </c>
      <c r="E54" s="36">
        <f t="shared" ref="E54:L54" si="32">CEILING(E53 * 42500, 1)</f>
        <v>3730</v>
      </c>
      <c r="F54" s="36">
        <f t="shared" si="32"/>
        <v>9913</v>
      </c>
      <c r="G54" s="36">
        <f t="shared" si="32"/>
        <v>16089</v>
      </c>
      <c r="H54" s="36">
        <f t="shared" si="32"/>
        <v>22241</v>
      </c>
      <c r="I54" s="36">
        <f t="shared" si="32"/>
        <v>28395</v>
      </c>
      <c r="J54" s="36">
        <f t="shared" si="32"/>
        <v>34601</v>
      </c>
      <c r="K54" s="36">
        <f t="shared" si="32"/>
        <v>40705</v>
      </c>
      <c r="L54" s="36">
        <f t="shared" si="32"/>
        <v>46898</v>
      </c>
    </row>
    <row r="55">
      <c r="A55" s="34"/>
      <c r="B55" s="34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>
      <c r="A56" s="34"/>
      <c r="B56" s="34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>
      <c r="A57" s="1" t="s">
        <v>22</v>
      </c>
      <c r="C57" s="2"/>
      <c r="D57" s="2"/>
      <c r="E57" s="2"/>
      <c r="F57" s="2"/>
      <c r="G57" s="2"/>
      <c r="H57" s="3"/>
      <c r="I57" s="4"/>
      <c r="J57" s="4"/>
      <c r="K57" s="4"/>
    </row>
    <row r="58">
      <c r="A58" s="5" t="s">
        <v>1</v>
      </c>
      <c r="B58" s="5" t="s">
        <v>23</v>
      </c>
      <c r="H58" s="3"/>
      <c r="I58" s="4"/>
      <c r="J58" s="4"/>
      <c r="K58" s="4"/>
    </row>
    <row r="59">
      <c r="A59" s="5" t="s">
        <v>3</v>
      </c>
      <c r="B59" s="5" t="s">
        <v>24</v>
      </c>
      <c r="C59" s="2"/>
      <c r="D59" s="2"/>
      <c r="E59" s="2"/>
      <c r="F59" s="2"/>
      <c r="G59" s="2"/>
      <c r="H59" s="3"/>
      <c r="I59" s="4"/>
      <c r="J59" s="4"/>
      <c r="K59" s="4"/>
    </row>
    <row r="60">
      <c r="A60" s="6" t="s">
        <v>5</v>
      </c>
      <c r="B60" s="7">
        <f>B58 / B59</f>
        <v>6</v>
      </c>
      <c r="H60" s="3"/>
      <c r="I60" s="4"/>
      <c r="J60" s="4"/>
      <c r="K60" s="4"/>
    </row>
    <row r="61">
      <c r="C61" s="2"/>
      <c r="D61" s="2"/>
      <c r="E61" s="2"/>
      <c r="F61" s="2"/>
      <c r="G61" s="2"/>
      <c r="H61" s="3"/>
      <c r="I61" s="3"/>
      <c r="J61" s="4"/>
      <c r="K61" s="4"/>
    </row>
    <row r="62">
      <c r="A62" s="8" t="s">
        <v>6</v>
      </c>
      <c r="B62" s="9" t="s">
        <v>7</v>
      </c>
      <c r="C62" s="10">
        <f>B60 + 1</f>
        <v>7</v>
      </c>
      <c r="D62" s="10">
        <f>B60 + 2</f>
        <v>8</v>
      </c>
      <c r="E62" s="10">
        <f>B60 + 3</f>
        <v>9</v>
      </c>
      <c r="F62" s="10">
        <f>B60 + 4</f>
        <v>10</v>
      </c>
      <c r="G62" s="10">
        <f>B60 + 5</f>
        <v>11</v>
      </c>
      <c r="H62" s="11">
        <f>B60 + 6</f>
        <v>12</v>
      </c>
      <c r="I62" s="11">
        <f>B60 + 7</f>
        <v>13</v>
      </c>
      <c r="J62" s="11">
        <f>B60 + 8</f>
        <v>14</v>
      </c>
      <c r="K62" s="11">
        <f>B60 + 9</f>
        <v>15</v>
      </c>
      <c r="L62" s="11">
        <f>B60 + 10</f>
        <v>16</v>
      </c>
    </row>
    <row r="63">
      <c r="A63" s="12" t="s">
        <v>8</v>
      </c>
      <c r="B63" s="13" t="str">
        <f>B59</f>
        <v>1000</v>
      </c>
      <c r="C63" s="14">
        <f t="shared" ref="C63:L63" si="33">$B58 / (C62 - 0.5)</f>
        <v>923.0769231</v>
      </c>
      <c r="D63" s="14">
        <f t="shared" si="33"/>
        <v>800</v>
      </c>
      <c r="E63" s="14">
        <f t="shared" si="33"/>
        <v>705.8823529</v>
      </c>
      <c r="F63" s="14">
        <f t="shared" si="33"/>
        <v>631.5789474</v>
      </c>
      <c r="G63" s="14">
        <f t="shared" si="33"/>
        <v>571.4285714</v>
      </c>
      <c r="H63" s="14">
        <f t="shared" si="33"/>
        <v>521.7391304</v>
      </c>
      <c r="I63" s="14">
        <f t="shared" si="33"/>
        <v>480</v>
      </c>
      <c r="J63" s="14">
        <f t="shared" si="33"/>
        <v>444.4444444</v>
      </c>
      <c r="K63" s="14">
        <f t="shared" si="33"/>
        <v>413.7931034</v>
      </c>
      <c r="L63" s="14">
        <f t="shared" si="33"/>
        <v>387.0967742</v>
      </c>
    </row>
    <row r="64">
      <c r="A64" s="15" t="s">
        <v>9</v>
      </c>
      <c r="B64" s="16">
        <v>0.0</v>
      </c>
      <c r="C64" s="17">
        <f t="shared" ref="C64:L64" si="34">IF(MOD($B58, ROUND(C63, 1)) / C63 = 0.5, IF(ISEVEN($B58 / C63), FLOOR(C63 - 1, 1) + 0.4999, FLOOR(C63, 1) + 0.4999), FLOOR(C63, 1) + 0.4999)</f>
        <v>923.4999</v>
      </c>
      <c r="D64" s="17">
        <f t="shared" si="34"/>
        <v>800.4999</v>
      </c>
      <c r="E64" s="17">
        <f t="shared" si="34"/>
        <v>705.4999</v>
      </c>
      <c r="F64" s="17">
        <f t="shared" si="34"/>
        <v>631.4999</v>
      </c>
      <c r="G64" s="17">
        <f t="shared" si="34"/>
        <v>571.4999</v>
      </c>
      <c r="H64" s="17">
        <f t="shared" si="34"/>
        <v>521.4999</v>
      </c>
      <c r="I64" s="17">
        <f t="shared" si="34"/>
        <v>479.4999</v>
      </c>
      <c r="J64" s="17">
        <f t="shared" si="34"/>
        <v>444.4999</v>
      </c>
      <c r="K64" s="17">
        <f t="shared" si="34"/>
        <v>413.4999</v>
      </c>
      <c r="L64" s="17">
        <f t="shared" si="34"/>
        <v>387.4999</v>
      </c>
    </row>
    <row r="65">
      <c r="A65" s="18" t="s">
        <v>10</v>
      </c>
      <c r="B65" s="19">
        <v>0.0</v>
      </c>
      <c r="C65" s="20">
        <f t="shared" ref="C65:L65" si="35">$B59 / C64 - 1</f>
        <v>0.08283715028</v>
      </c>
      <c r="D65" s="20">
        <f t="shared" si="35"/>
        <v>0.249219394</v>
      </c>
      <c r="E65" s="20">
        <f t="shared" si="35"/>
        <v>0.4174346446</v>
      </c>
      <c r="F65" s="20">
        <f t="shared" si="35"/>
        <v>0.5835315255</v>
      </c>
      <c r="G65" s="20">
        <f t="shared" si="35"/>
        <v>0.7497815835</v>
      </c>
      <c r="H65" s="20">
        <f t="shared" si="35"/>
        <v>0.9175459094</v>
      </c>
      <c r="I65" s="20">
        <f t="shared" si="35"/>
        <v>1.08550617</v>
      </c>
      <c r="J65" s="20">
        <f t="shared" si="35"/>
        <v>1.249719291</v>
      </c>
      <c r="K65" s="20">
        <f t="shared" si="35"/>
        <v>1.41838027</v>
      </c>
      <c r="L65" s="20">
        <f t="shared" si="35"/>
        <v>1.580645827</v>
      </c>
    </row>
    <row r="66">
      <c r="A66" s="12" t="s">
        <v>11</v>
      </c>
      <c r="B66" s="19">
        <v>0.0</v>
      </c>
      <c r="C66" s="21">
        <f t="shared" ref="C66:L66" si="36">CEILING(42500 * C65, 1)</f>
        <v>3521</v>
      </c>
      <c r="D66" s="21">
        <f t="shared" si="36"/>
        <v>10592</v>
      </c>
      <c r="E66" s="21">
        <f t="shared" si="36"/>
        <v>17741</v>
      </c>
      <c r="F66" s="21">
        <f t="shared" si="36"/>
        <v>24801</v>
      </c>
      <c r="G66" s="21">
        <f t="shared" si="36"/>
        <v>31866</v>
      </c>
      <c r="H66" s="21">
        <f t="shared" si="36"/>
        <v>38996</v>
      </c>
      <c r="I66" s="21">
        <f t="shared" si="36"/>
        <v>46135</v>
      </c>
      <c r="J66" s="21">
        <f t="shared" si="36"/>
        <v>53114</v>
      </c>
      <c r="K66" s="21">
        <f t="shared" si="36"/>
        <v>60282</v>
      </c>
      <c r="L66" s="21">
        <f t="shared" si="36"/>
        <v>67178</v>
      </c>
    </row>
    <row r="67">
      <c r="I67" s="22"/>
      <c r="J67" s="22"/>
      <c r="K67" s="22"/>
      <c r="L67" s="22"/>
    </row>
    <row r="68">
      <c r="A68" s="23" t="s">
        <v>12</v>
      </c>
      <c r="B68" s="24" t="s">
        <v>13</v>
      </c>
      <c r="I68" s="25"/>
      <c r="J68" s="25"/>
      <c r="K68" s="25"/>
      <c r="L68" s="25"/>
    </row>
    <row r="69">
      <c r="A69" s="26" t="s">
        <v>14</v>
      </c>
      <c r="B69" s="19">
        <v>1.05</v>
      </c>
      <c r="C69" s="20">
        <f t="shared" ref="C69:L69" si="37">(C65 + 1) / $B69 - 1</f>
        <v>0.03127347646</v>
      </c>
      <c r="D69" s="20">
        <f t="shared" si="37"/>
        <v>0.1897327562</v>
      </c>
      <c r="E69" s="20">
        <f t="shared" si="37"/>
        <v>0.3499377567</v>
      </c>
      <c r="F69" s="20">
        <f t="shared" si="37"/>
        <v>0.5081252624</v>
      </c>
      <c r="G69" s="20">
        <f t="shared" si="37"/>
        <v>0.666458651</v>
      </c>
      <c r="H69" s="20">
        <f t="shared" si="37"/>
        <v>0.8262341994</v>
      </c>
      <c r="I69" s="20">
        <f t="shared" si="37"/>
        <v>0.9861963525</v>
      </c>
      <c r="J69" s="20">
        <f t="shared" si="37"/>
        <v>1.142589801</v>
      </c>
      <c r="K69" s="20">
        <f t="shared" si="37"/>
        <v>1.303219305</v>
      </c>
      <c r="L69" s="20">
        <f t="shared" si="37"/>
        <v>1.457757931</v>
      </c>
    </row>
    <row r="70">
      <c r="A70" s="27" t="s">
        <v>15</v>
      </c>
      <c r="C70" s="28">
        <f t="shared" ref="C70:L70" si="38">CEILING(C69 * 42500, 1)</f>
        <v>1330</v>
      </c>
      <c r="D70" s="28">
        <f t="shared" si="38"/>
        <v>8064</v>
      </c>
      <c r="E70" s="28">
        <f t="shared" si="38"/>
        <v>14873</v>
      </c>
      <c r="F70" s="28">
        <f t="shared" si="38"/>
        <v>21596</v>
      </c>
      <c r="G70" s="28">
        <f t="shared" si="38"/>
        <v>28325</v>
      </c>
      <c r="H70" s="28">
        <f t="shared" si="38"/>
        <v>35115</v>
      </c>
      <c r="I70" s="28">
        <f t="shared" si="38"/>
        <v>41914</v>
      </c>
      <c r="J70" s="28">
        <f t="shared" si="38"/>
        <v>48561</v>
      </c>
      <c r="K70" s="28">
        <f t="shared" si="38"/>
        <v>55387</v>
      </c>
      <c r="L70" s="28">
        <f t="shared" si="38"/>
        <v>61955</v>
      </c>
    </row>
    <row r="71">
      <c r="A71" s="29" t="s">
        <v>16</v>
      </c>
      <c r="B71" s="30">
        <f>1.3</f>
        <v>1.3</v>
      </c>
      <c r="C71" s="31" t="s">
        <v>17</v>
      </c>
      <c r="D71" s="31" t="s">
        <v>17</v>
      </c>
      <c r="E71" s="32">
        <f t="shared" ref="E71:L71" si="39">(E65 + 1) / $B71 - 1</f>
        <v>0.09033434198</v>
      </c>
      <c r="F71" s="32">
        <f t="shared" si="39"/>
        <v>0.2181011735</v>
      </c>
      <c r="G71" s="32">
        <f t="shared" si="39"/>
        <v>0.3459858335</v>
      </c>
      <c r="H71" s="32">
        <f t="shared" si="39"/>
        <v>0.4750353149</v>
      </c>
      <c r="I71" s="32">
        <f t="shared" si="39"/>
        <v>0.6042355154</v>
      </c>
      <c r="J71" s="32">
        <f t="shared" si="39"/>
        <v>0.730553301</v>
      </c>
      <c r="K71" s="32">
        <f t="shared" si="39"/>
        <v>0.8602925157</v>
      </c>
      <c r="L71" s="32">
        <f t="shared" si="39"/>
        <v>0.9851121748</v>
      </c>
    </row>
    <row r="72">
      <c r="A72" s="33" t="s">
        <v>15</v>
      </c>
      <c r="B72" s="34"/>
      <c r="C72" s="35" t="s">
        <v>17</v>
      </c>
      <c r="D72" s="35" t="s">
        <v>17</v>
      </c>
      <c r="E72" s="36">
        <f t="shared" ref="E72:L72" si="40">CEILING(E71 * 42500, 1)</f>
        <v>3840</v>
      </c>
      <c r="F72" s="36">
        <f t="shared" si="40"/>
        <v>9270</v>
      </c>
      <c r="G72" s="36">
        <f t="shared" si="40"/>
        <v>14705</v>
      </c>
      <c r="H72" s="36">
        <f t="shared" si="40"/>
        <v>20190</v>
      </c>
      <c r="I72" s="36">
        <f t="shared" si="40"/>
        <v>25681</v>
      </c>
      <c r="J72" s="36">
        <f t="shared" si="40"/>
        <v>31049</v>
      </c>
      <c r="K72" s="36">
        <f t="shared" si="40"/>
        <v>36563</v>
      </c>
      <c r="L72" s="36">
        <f t="shared" si="40"/>
        <v>41868</v>
      </c>
    </row>
    <row r="73">
      <c r="A73" s="29" t="s">
        <v>18</v>
      </c>
      <c r="B73" s="30">
        <f>1.3 * 1.05</f>
        <v>1.365</v>
      </c>
      <c r="C73" s="31" t="s">
        <v>17</v>
      </c>
      <c r="D73" s="31" t="s">
        <v>17</v>
      </c>
      <c r="E73" s="32">
        <f t="shared" ref="E73:L73" si="41">(E65 + 1) / $B73 - 1</f>
        <v>0.03841365902</v>
      </c>
      <c r="F73" s="32">
        <f t="shared" si="41"/>
        <v>0.1600963557</v>
      </c>
      <c r="G73" s="32">
        <f t="shared" si="41"/>
        <v>0.28189127</v>
      </c>
      <c r="H73" s="32">
        <f t="shared" si="41"/>
        <v>0.404795538</v>
      </c>
      <c r="I73" s="32">
        <f t="shared" si="41"/>
        <v>0.527843348</v>
      </c>
      <c r="J73" s="32">
        <f t="shared" si="41"/>
        <v>0.6481460009</v>
      </c>
      <c r="K73" s="32">
        <f t="shared" si="41"/>
        <v>0.7717071579</v>
      </c>
      <c r="L73" s="32">
        <f t="shared" si="41"/>
        <v>0.8905830236</v>
      </c>
    </row>
    <row r="74">
      <c r="A74" s="33" t="s">
        <v>15</v>
      </c>
      <c r="B74" s="34"/>
      <c r="C74" s="35" t="s">
        <v>17</v>
      </c>
      <c r="D74" s="35" t="s">
        <v>17</v>
      </c>
      <c r="E74" s="36">
        <f t="shared" ref="E74:L74" si="42">CEILING(E73 * 42500, 1)</f>
        <v>1633</v>
      </c>
      <c r="F74" s="36">
        <f t="shared" si="42"/>
        <v>6805</v>
      </c>
      <c r="G74" s="36">
        <f t="shared" si="42"/>
        <v>11981</v>
      </c>
      <c r="H74" s="36">
        <f t="shared" si="42"/>
        <v>17204</v>
      </c>
      <c r="I74" s="36">
        <f t="shared" si="42"/>
        <v>22434</v>
      </c>
      <c r="J74" s="36">
        <f t="shared" si="42"/>
        <v>27547</v>
      </c>
      <c r="K74" s="36">
        <f t="shared" si="42"/>
        <v>32798</v>
      </c>
      <c r="L74" s="36">
        <f t="shared" si="42"/>
        <v>37850</v>
      </c>
    </row>
    <row r="75">
      <c r="A75" s="34"/>
      <c r="B75" s="34"/>
      <c r="C75" s="37"/>
      <c r="D75" s="37"/>
      <c r="E75" s="22"/>
      <c r="F75" s="22"/>
      <c r="G75" s="22"/>
      <c r="H75" s="22"/>
      <c r="I75" s="22"/>
      <c r="J75" s="22"/>
      <c r="K75" s="22"/>
      <c r="L75" s="22"/>
    </row>
    <row r="76">
      <c r="A76" s="38" t="s">
        <v>19</v>
      </c>
      <c r="B76" s="24" t="s">
        <v>13</v>
      </c>
    </row>
    <row r="77">
      <c r="A77" s="26" t="s">
        <v>14</v>
      </c>
      <c r="B77" s="39">
        <f>1.05 * 1.01</f>
        <v>1.0605</v>
      </c>
      <c r="C77" s="20">
        <f t="shared" ref="C77:L77" si="43">(C65 + 1) / $B77 - 1</f>
        <v>0.02106284798</v>
      </c>
      <c r="D77" s="20">
        <f t="shared" si="43"/>
        <v>0.177953224</v>
      </c>
      <c r="E77" s="20">
        <f t="shared" si="43"/>
        <v>0.3365720364</v>
      </c>
      <c r="F77" s="20">
        <f t="shared" si="43"/>
        <v>0.4931933291</v>
      </c>
      <c r="G77" s="20">
        <f t="shared" si="43"/>
        <v>0.6499590604</v>
      </c>
      <c r="H77" s="20">
        <f t="shared" si="43"/>
        <v>0.8081526727</v>
      </c>
      <c r="I77" s="20">
        <f t="shared" si="43"/>
        <v>0.966531042</v>
      </c>
      <c r="J77" s="20">
        <f t="shared" si="43"/>
        <v>1.121376041</v>
      </c>
      <c r="K77" s="20">
        <f t="shared" si="43"/>
        <v>1.280415154</v>
      </c>
      <c r="L77" s="20">
        <f t="shared" si="43"/>
        <v>1.433423694</v>
      </c>
    </row>
    <row r="78">
      <c r="A78" s="27" t="s">
        <v>15</v>
      </c>
      <c r="C78" s="28">
        <f t="shared" ref="C78:L78" si="44">CEILING(C77 * 42500, 1)</f>
        <v>896</v>
      </c>
      <c r="D78" s="28">
        <f t="shared" si="44"/>
        <v>7564</v>
      </c>
      <c r="E78" s="28">
        <f t="shared" si="44"/>
        <v>14305</v>
      </c>
      <c r="F78" s="28">
        <f t="shared" si="44"/>
        <v>20961</v>
      </c>
      <c r="G78" s="28">
        <f t="shared" si="44"/>
        <v>27624</v>
      </c>
      <c r="H78" s="28">
        <f t="shared" si="44"/>
        <v>34347</v>
      </c>
      <c r="I78" s="28">
        <f t="shared" si="44"/>
        <v>41078</v>
      </c>
      <c r="J78" s="28">
        <f t="shared" si="44"/>
        <v>47659</v>
      </c>
      <c r="K78" s="28">
        <f t="shared" si="44"/>
        <v>54418</v>
      </c>
      <c r="L78" s="28">
        <f t="shared" si="44"/>
        <v>60921</v>
      </c>
    </row>
    <row r="79">
      <c r="A79" s="29" t="s">
        <v>16</v>
      </c>
      <c r="B79" s="30">
        <f>1.3 * 1.01</f>
        <v>1.313</v>
      </c>
      <c r="C79" s="31" t="s">
        <v>17</v>
      </c>
      <c r="D79" s="31" t="s">
        <v>17</v>
      </c>
      <c r="E79" s="32">
        <f t="shared" ref="E79:L79" si="45">(E65 + 1) / $B79 - 1</f>
        <v>0.07953895245</v>
      </c>
      <c r="F79" s="32">
        <f t="shared" si="45"/>
        <v>0.2060407658</v>
      </c>
      <c r="G79" s="32">
        <f t="shared" si="45"/>
        <v>0.3326592411</v>
      </c>
      <c r="H79" s="32">
        <f t="shared" si="45"/>
        <v>0.4604310049</v>
      </c>
      <c r="I79" s="32">
        <f t="shared" si="45"/>
        <v>0.5883519955</v>
      </c>
      <c r="J79" s="32">
        <f t="shared" si="45"/>
        <v>0.7134191099</v>
      </c>
      <c r="K79" s="32">
        <f t="shared" si="45"/>
        <v>0.841873778</v>
      </c>
      <c r="L79" s="32">
        <f t="shared" si="45"/>
        <v>0.9654575988</v>
      </c>
    </row>
    <row r="80">
      <c r="A80" s="33" t="s">
        <v>15</v>
      </c>
      <c r="B80" s="34"/>
      <c r="C80" s="35" t="s">
        <v>17</v>
      </c>
      <c r="D80" s="35" t="s">
        <v>17</v>
      </c>
      <c r="E80" s="36">
        <f t="shared" ref="E80:L80" si="46">CEILING(E79 * 42500, 1)</f>
        <v>3381</v>
      </c>
      <c r="F80" s="36">
        <f t="shared" si="46"/>
        <v>8757</v>
      </c>
      <c r="G80" s="36">
        <f t="shared" si="46"/>
        <v>14139</v>
      </c>
      <c r="H80" s="36">
        <f t="shared" si="46"/>
        <v>19569</v>
      </c>
      <c r="I80" s="36">
        <f t="shared" si="46"/>
        <v>25005</v>
      </c>
      <c r="J80" s="36">
        <f t="shared" si="46"/>
        <v>30321</v>
      </c>
      <c r="K80" s="36">
        <f t="shared" si="46"/>
        <v>35780</v>
      </c>
      <c r="L80" s="36">
        <f t="shared" si="46"/>
        <v>41032</v>
      </c>
    </row>
    <row r="81">
      <c r="A81" s="29" t="s">
        <v>18</v>
      </c>
      <c r="B81" s="30">
        <f>1.3 * 1.05 * 1.01</f>
        <v>1.37865</v>
      </c>
      <c r="C81" s="31" t="s">
        <v>17</v>
      </c>
      <c r="D81" s="31" t="s">
        <v>17</v>
      </c>
      <c r="E81" s="32">
        <f t="shared" ref="E81:L81" si="47">(E65 + 1) / $B81 - 1</f>
        <v>0.02813233567</v>
      </c>
      <c r="F81" s="32">
        <f t="shared" si="47"/>
        <v>0.1486102531</v>
      </c>
      <c r="G81" s="32">
        <f t="shared" si="47"/>
        <v>0.2691992772</v>
      </c>
      <c r="H81" s="32">
        <f t="shared" si="47"/>
        <v>0.3908866713</v>
      </c>
      <c r="I81" s="32">
        <f t="shared" si="47"/>
        <v>0.5127161862</v>
      </c>
      <c r="J81" s="32">
        <f t="shared" si="47"/>
        <v>0.6318277237</v>
      </c>
      <c r="K81" s="32">
        <f t="shared" si="47"/>
        <v>0.7541655028</v>
      </c>
      <c r="L81" s="32">
        <f t="shared" si="47"/>
        <v>0.8718643798</v>
      </c>
    </row>
    <row r="82">
      <c r="A82" s="33" t="s">
        <v>15</v>
      </c>
      <c r="B82" s="34"/>
      <c r="C82" s="35" t="s">
        <v>17</v>
      </c>
      <c r="D82" s="35" t="s">
        <v>17</v>
      </c>
      <c r="E82" s="36">
        <f t="shared" ref="E82:L82" si="48">CEILING(E81 * 42500, 1)</f>
        <v>1196</v>
      </c>
      <c r="F82" s="36">
        <f t="shared" si="48"/>
        <v>6316</v>
      </c>
      <c r="G82" s="36">
        <f t="shared" si="48"/>
        <v>11441</v>
      </c>
      <c r="H82" s="36">
        <f t="shared" si="48"/>
        <v>16613</v>
      </c>
      <c r="I82" s="36">
        <f t="shared" si="48"/>
        <v>21791</v>
      </c>
      <c r="J82" s="36">
        <f t="shared" si="48"/>
        <v>26853</v>
      </c>
      <c r="K82" s="36">
        <f t="shared" si="48"/>
        <v>32053</v>
      </c>
      <c r="L82" s="36">
        <f t="shared" si="48"/>
        <v>37055</v>
      </c>
    </row>
    <row r="83">
      <c r="A83" s="40"/>
      <c r="B83" s="40"/>
      <c r="C83" s="41"/>
      <c r="D83" s="41"/>
      <c r="E83" s="41"/>
      <c r="F83" s="41"/>
      <c r="G83" s="41"/>
      <c r="H83" s="3"/>
      <c r="I83" s="4"/>
      <c r="J83" s="4"/>
      <c r="K83" s="4"/>
      <c r="L83" s="34"/>
    </row>
    <row r="84">
      <c r="A84" s="42"/>
      <c r="B84" s="40"/>
      <c r="C84" s="34"/>
      <c r="D84" s="34"/>
      <c r="E84" s="34"/>
      <c r="F84" s="34"/>
      <c r="G84" s="34"/>
      <c r="H84" s="3"/>
      <c r="I84" s="4"/>
      <c r="J84" s="4"/>
      <c r="K84" s="4"/>
      <c r="L84" s="34"/>
    </row>
    <row r="85">
      <c r="A85" s="1" t="s">
        <v>25</v>
      </c>
      <c r="C85" s="2"/>
      <c r="D85" s="2"/>
      <c r="E85" s="2"/>
      <c r="F85" s="2"/>
      <c r="G85" s="2"/>
      <c r="H85" s="3"/>
      <c r="I85" s="4"/>
      <c r="J85" s="4"/>
      <c r="K85" s="4"/>
    </row>
    <row r="86">
      <c r="A86" s="5" t="s">
        <v>1</v>
      </c>
      <c r="B86" s="5" t="s">
        <v>26</v>
      </c>
      <c r="H86" s="3"/>
      <c r="I86" s="4"/>
      <c r="J86" s="4"/>
      <c r="K86" s="4"/>
    </row>
    <row r="87">
      <c r="A87" s="5" t="s">
        <v>3</v>
      </c>
      <c r="B87" s="5" t="s">
        <v>4</v>
      </c>
      <c r="C87" s="2"/>
      <c r="D87" s="2"/>
      <c r="E87" s="2"/>
      <c r="F87" s="2"/>
      <c r="G87" s="2"/>
      <c r="H87" s="3"/>
      <c r="I87" s="4"/>
      <c r="J87" s="4"/>
      <c r="K87" s="4"/>
    </row>
    <row r="88">
      <c r="A88" s="6" t="s">
        <v>5</v>
      </c>
      <c r="B88" s="7">
        <f>B86 / B87</f>
        <v>7</v>
      </c>
      <c r="H88" s="3"/>
      <c r="I88" s="4"/>
      <c r="J88" s="4"/>
      <c r="K88" s="4"/>
    </row>
    <row r="89">
      <c r="C89" s="2"/>
      <c r="D89" s="2"/>
      <c r="E89" s="2"/>
      <c r="F89" s="2"/>
      <c r="G89" s="2"/>
      <c r="H89" s="3"/>
      <c r="I89" s="3"/>
      <c r="J89" s="4"/>
      <c r="K89" s="4"/>
    </row>
    <row r="90">
      <c r="A90" s="8" t="s">
        <v>6</v>
      </c>
      <c r="B90" s="9" t="s">
        <v>7</v>
      </c>
      <c r="C90" s="10">
        <f>B88 + 1</f>
        <v>8</v>
      </c>
      <c r="D90" s="10">
        <f>B88 + 2</f>
        <v>9</v>
      </c>
      <c r="E90" s="10">
        <f>B88 + 3</f>
        <v>10</v>
      </c>
      <c r="F90" s="10">
        <f>B88 + 4</f>
        <v>11</v>
      </c>
      <c r="G90" s="10">
        <f>B88 + 5</f>
        <v>12</v>
      </c>
      <c r="H90" s="11">
        <f>B88 + 6</f>
        <v>13</v>
      </c>
      <c r="I90" s="11">
        <f>B88 + 7</f>
        <v>14</v>
      </c>
      <c r="J90" s="11">
        <f>B88 + 8</f>
        <v>15</v>
      </c>
      <c r="K90" s="11">
        <f>B88 + 9</f>
        <v>16</v>
      </c>
      <c r="L90" s="11">
        <f>B88 + 10</f>
        <v>17</v>
      </c>
    </row>
    <row r="91">
      <c r="A91" s="12" t="s">
        <v>8</v>
      </c>
      <c r="B91" s="13" t="str">
        <f>B87</f>
        <v>3000</v>
      </c>
      <c r="C91" s="14">
        <f t="shared" ref="C91:L91" si="49">$B86 / (C90 - 0.5)</f>
        <v>2800</v>
      </c>
      <c r="D91" s="14">
        <f t="shared" si="49"/>
        <v>2470.588235</v>
      </c>
      <c r="E91" s="14">
        <f t="shared" si="49"/>
        <v>2210.526316</v>
      </c>
      <c r="F91" s="14">
        <f t="shared" si="49"/>
        <v>2000</v>
      </c>
      <c r="G91" s="14">
        <f t="shared" si="49"/>
        <v>1826.086957</v>
      </c>
      <c r="H91" s="14">
        <f t="shared" si="49"/>
        <v>1680</v>
      </c>
      <c r="I91" s="14">
        <f t="shared" si="49"/>
        <v>1555.555556</v>
      </c>
      <c r="J91" s="14">
        <f t="shared" si="49"/>
        <v>1448.275862</v>
      </c>
      <c r="K91" s="14">
        <f t="shared" si="49"/>
        <v>1354.83871</v>
      </c>
      <c r="L91" s="14">
        <f t="shared" si="49"/>
        <v>1272.727273</v>
      </c>
    </row>
    <row r="92">
      <c r="A92" s="15" t="s">
        <v>9</v>
      </c>
      <c r="B92" s="16">
        <v>0.0</v>
      </c>
      <c r="C92" s="17">
        <f t="shared" ref="C92:L92" si="50">IF(MOD($B86, ROUND(C91, 1)) / C91 = 0.5, IF(ISEVEN($B86 / C91), FLOOR(C91 - 1, 1) + 0.4999, FLOOR(C91, 1) + 0.4999), FLOOR(C91, 1) + 0.4999)</f>
        <v>2800.4999</v>
      </c>
      <c r="D92" s="17">
        <f t="shared" si="50"/>
        <v>2470.4999</v>
      </c>
      <c r="E92" s="17">
        <f t="shared" si="50"/>
        <v>2210.4999</v>
      </c>
      <c r="F92" s="17">
        <f t="shared" si="50"/>
        <v>1999.4999</v>
      </c>
      <c r="G92" s="17">
        <f t="shared" si="50"/>
        <v>1826.4999</v>
      </c>
      <c r="H92" s="17">
        <f t="shared" si="50"/>
        <v>1679.4999</v>
      </c>
      <c r="I92" s="17">
        <f t="shared" si="50"/>
        <v>1555.4999</v>
      </c>
      <c r="J92" s="17">
        <f t="shared" si="50"/>
        <v>1448.4999</v>
      </c>
      <c r="K92" s="17">
        <f t="shared" si="50"/>
        <v>1354.4999</v>
      </c>
      <c r="L92" s="17">
        <f t="shared" si="50"/>
        <v>1272.4999</v>
      </c>
    </row>
    <row r="93">
      <c r="A93" s="18" t="s">
        <v>10</v>
      </c>
      <c r="B93" s="19">
        <v>0.0</v>
      </c>
      <c r="C93" s="20">
        <f t="shared" ref="C93:L93" si="51">$B87 / C92 - 1</f>
        <v>0.07123731731</v>
      </c>
      <c r="D93" s="20">
        <f t="shared" si="51"/>
        <v>0.2143291323</v>
      </c>
      <c r="E93" s="20">
        <f t="shared" si="51"/>
        <v>0.3571590752</v>
      </c>
      <c r="F93" s="20">
        <f t="shared" si="51"/>
        <v>0.5003751688</v>
      </c>
      <c r="G93" s="20">
        <f t="shared" si="51"/>
        <v>0.6424857182</v>
      </c>
      <c r="H93" s="20">
        <f t="shared" si="51"/>
        <v>0.7862460129</v>
      </c>
      <c r="I93" s="20">
        <f t="shared" si="51"/>
        <v>0.9286404326</v>
      </c>
      <c r="J93" s="20">
        <f t="shared" si="51"/>
        <v>1.071108186</v>
      </c>
      <c r="K93" s="20">
        <f t="shared" si="51"/>
        <v>1.214839588</v>
      </c>
      <c r="L93" s="20">
        <f t="shared" si="51"/>
        <v>1.357564036</v>
      </c>
    </row>
    <row r="94">
      <c r="A94" s="12" t="s">
        <v>11</v>
      </c>
      <c r="B94" s="19">
        <v>0.0</v>
      </c>
      <c r="C94" s="21">
        <f t="shared" ref="C94:L94" si="52">CEILING(42500 * C93, 1)</f>
        <v>3028</v>
      </c>
      <c r="D94" s="21">
        <f t="shared" si="52"/>
        <v>9109</v>
      </c>
      <c r="E94" s="21">
        <f t="shared" si="52"/>
        <v>15180</v>
      </c>
      <c r="F94" s="21">
        <f t="shared" si="52"/>
        <v>21266</v>
      </c>
      <c r="G94" s="21">
        <f t="shared" si="52"/>
        <v>27306</v>
      </c>
      <c r="H94" s="21">
        <f t="shared" si="52"/>
        <v>33416</v>
      </c>
      <c r="I94" s="21">
        <f t="shared" si="52"/>
        <v>39468</v>
      </c>
      <c r="J94" s="21">
        <f t="shared" si="52"/>
        <v>45523</v>
      </c>
      <c r="K94" s="21">
        <f t="shared" si="52"/>
        <v>51631</v>
      </c>
      <c r="L94" s="21">
        <f t="shared" si="52"/>
        <v>57697</v>
      </c>
    </row>
    <row r="95">
      <c r="I95" s="22"/>
      <c r="J95" s="22"/>
      <c r="K95" s="22"/>
      <c r="L95" s="22"/>
    </row>
    <row r="96">
      <c r="A96" s="23" t="s">
        <v>12</v>
      </c>
      <c r="B96" s="24" t="s">
        <v>13</v>
      </c>
      <c r="I96" s="25"/>
      <c r="J96" s="25"/>
      <c r="K96" s="25"/>
      <c r="L96" s="25"/>
    </row>
    <row r="97">
      <c r="A97" s="26" t="s">
        <v>14</v>
      </c>
      <c r="B97" s="19">
        <v>1.05</v>
      </c>
      <c r="C97" s="20">
        <f t="shared" ref="C97:L97" si="53">(C93 + 1) / $B97 - 1</f>
        <v>0.02022601648</v>
      </c>
      <c r="D97" s="20">
        <f t="shared" si="53"/>
        <v>0.1565039356</v>
      </c>
      <c r="E97" s="20">
        <f t="shared" si="53"/>
        <v>0.2925324526</v>
      </c>
      <c r="F97" s="20">
        <f t="shared" si="53"/>
        <v>0.4289287322</v>
      </c>
      <c r="G97" s="20">
        <f t="shared" si="53"/>
        <v>0.5642721125</v>
      </c>
      <c r="H97" s="20">
        <f t="shared" si="53"/>
        <v>0.7011866789</v>
      </c>
      <c r="I97" s="20">
        <f t="shared" si="53"/>
        <v>0.836800412</v>
      </c>
      <c r="J97" s="20">
        <f t="shared" si="53"/>
        <v>0.9724839865</v>
      </c>
      <c r="K97" s="20">
        <f t="shared" si="53"/>
        <v>1.109371036</v>
      </c>
      <c r="L97" s="20">
        <f t="shared" si="53"/>
        <v>1.245299082</v>
      </c>
    </row>
    <row r="98">
      <c r="A98" s="27" t="s">
        <v>15</v>
      </c>
      <c r="C98" s="28">
        <f t="shared" ref="C98:L98" si="54">CEILING(C97 * 42500, 1)</f>
        <v>860</v>
      </c>
      <c r="D98" s="28">
        <f t="shared" si="54"/>
        <v>6652</v>
      </c>
      <c r="E98" s="28">
        <f t="shared" si="54"/>
        <v>12433</v>
      </c>
      <c r="F98" s="28">
        <f t="shared" si="54"/>
        <v>18230</v>
      </c>
      <c r="G98" s="28">
        <f t="shared" si="54"/>
        <v>23982</v>
      </c>
      <c r="H98" s="28">
        <f t="shared" si="54"/>
        <v>29801</v>
      </c>
      <c r="I98" s="28">
        <f t="shared" si="54"/>
        <v>35565</v>
      </c>
      <c r="J98" s="28">
        <f t="shared" si="54"/>
        <v>41331</v>
      </c>
      <c r="K98" s="28">
        <f t="shared" si="54"/>
        <v>47149</v>
      </c>
      <c r="L98" s="28">
        <f t="shared" si="54"/>
        <v>52926</v>
      </c>
    </row>
    <row r="99">
      <c r="A99" s="29" t="s">
        <v>16</v>
      </c>
      <c r="B99" s="30">
        <f>1.3</f>
        <v>1.3</v>
      </c>
      <c r="C99" s="31" t="s">
        <v>17</v>
      </c>
      <c r="D99" s="31" t="s">
        <v>17</v>
      </c>
      <c r="E99" s="32">
        <f t="shared" ref="E99:L99" si="55">(E93 + 1) / $B99 - 1</f>
        <v>0.04396851938</v>
      </c>
      <c r="F99" s="32">
        <f t="shared" si="55"/>
        <v>0.1541347452</v>
      </c>
      <c r="G99" s="32">
        <f t="shared" si="55"/>
        <v>0.2634505524</v>
      </c>
      <c r="H99" s="32">
        <f t="shared" si="55"/>
        <v>0.3740353945</v>
      </c>
      <c r="I99" s="32">
        <f t="shared" si="55"/>
        <v>0.4835695635</v>
      </c>
      <c r="J99" s="32">
        <f t="shared" si="55"/>
        <v>0.5931601429</v>
      </c>
      <c r="K99" s="32">
        <f t="shared" si="55"/>
        <v>0.7037227597</v>
      </c>
      <c r="L99" s="32">
        <f t="shared" si="55"/>
        <v>0.8135107969</v>
      </c>
    </row>
    <row r="100">
      <c r="A100" s="33" t="s">
        <v>15</v>
      </c>
      <c r="B100" s="34"/>
      <c r="C100" s="35" t="s">
        <v>17</v>
      </c>
      <c r="D100" s="35" t="s">
        <v>17</v>
      </c>
      <c r="E100" s="36">
        <f t="shared" ref="E100:L100" si="56">CEILING(E99 * 42500, 1)</f>
        <v>1869</v>
      </c>
      <c r="F100" s="36">
        <f t="shared" si="56"/>
        <v>6551</v>
      </c>
      <c r="G100" s="36">
        <f t="shared" si="56"/>
        <v>11197</v>
      </c>
      <c r="H100" s="36">
        <f t="shared" si="56"/>
        <v>15897</v>
      </c>
      <c r="I100" s="36">
        <f t="shared" si="56"/>
        <v>20552</v>
      </c>
      <c r="J100" s="36">
        <f t="shared" si="56"/>
        <v>25210</v>
      </c>
      <c r="K100" s="36">
        <f t="shared" si="56"/>
        <v>29909</v>
      </c>
      <c r="L100" s="36">
        <f t="shared" si="56"/>
        <v>34575</v>
      </c>
    </row>
    <row r="101">
      <c r="A101" s="29" t="s">
        <v>18</v>
      </c>
      <c r="B101" s="30">
        <f>1.3 * 1.05</f>
        <v>1.365</v>
      </c>
      <c r="C101" s="31" t="s">
        <v>17</v>
      </c>
      <c r="D101" s="31" t="s">
        <v>17</v>
      </c>
      <c r="E101" s="31" t="s">
        <v>17</v>
      </c>
      <c r="F101" s="32">
        <f t="shared" ref="F101:L101" si="57">(F93 + 1) / $B101 - 1</f>
        <v>0.09917594785</v>
      </c>
      <c r="G101" s="32">
        <f t="shared" si="57"/>
        <v>0.2032862404</v>
      </c>
      <c r="H101" s="32">
        <f t="shared" si="57"/>
        <v>0.3086051376</v>
      </c>
      <c r="I101" s="32">
        <f t="shared" si="57"/>
        <v>0.4129233938</v>
      </c>
      <c r="J101" s="32">
        <f t="shared" si="57"/>
        <v>0.5172953742</v>
      </c>
      <c r="K101" s="32">
        <f t="shared" si="57"/>
        <v>0.6225931045</v>
      </c>
      <c r="L101" s="32">
        <f t="shared" si="57"/>
        <v>0.7271531399</v>
      </c>
    </row>
    <row r="102">
      <c r="A102" s="33" t="s">
        <v>15</v>
      </c>
      <c r="B102" s="34"/>
      <c r="C102" s="35" t="s">
        <v>17</v>
      </c>
      <c r="D102" s="35" t="s">
        <v>17</v>
      </c>
      <c r="E102" s="35" t="s">
        <v>17</v>
      </c>
      <c r="F102" s="36">
        <f t="shared" ref="F102:L102" si="58">CEILING(F101 * 42500, 1)</f>
        <v>4215</v>
      </c>
      <c r="G102" s="36">
        <f t="shared" si="58"/>
        <v>8640</v>
      </c>
      <c r="H102" s="36">
        <f t="shared" si="58"/>
        <v>13116</v>
      </c>
      <c r="I102" s="36">
        <f t="shared" si="58"/>
        <v>17550</v>
      </c>
      <c r="J102" s="36">
        <f t="shared" si="58"/>
        <v>21986</v>
      </c>
      <c r="K102" s="36">
        <f t="shared" si="58"/>
        <v>26461</v>
      </c>
      <c r="L102" s="36">
        <f t="shared" si="58"/>
        <v>30905</v>
      </c>
    </row>
    <row r="103">
      <c r="A103" s="34"/>
      <c r="B103" s="34"/>
      <c r="C103" s="37"/>
      <c r="D103" s="37"/>
      <c r="E103" s="22"/>
      <c r="F103" s="22"/>
      <c r="G103" s="22"/>
      <c r="H103" s="22"/>
      <c r="I103" s="22"/>
      <c r="J103" s="22"/>
      <c r="K103" s="22"/>
      <c r="L103" s="22"/>
    </row>
    <row r="104">
      <c r="A104" s="38" t="s">
        <v>19</v>
      </c>
      <c r="B104" s="24" t="s">
        <v>13</v>
      </c>
    </row>
    <row r="105">
      <c r="A105" s="26" t="s">
        <v>14</v>
      </c>
      <c r="B105" s="39">
        <f>1.05 * 1.01</f>
        <v>1.0605</v>
      </c>
      <c r="C105" s="20">
        <f t="shared" ref="C105:L105" si="59">(C93 + 1) / $B105 - 1</f>
        <v>0.0101247688</v>
      </c>
      <c r="D105" s="20">
        <f t="shared" si="59"/>
        <v>0.1450534015</v>
      </c>
      <c r="E105" s="20">
        <f t="shared" si="59"/>
        <v>0.2797351016</v>
      </c>
      <c r="F105" s="20">
        <f t="shared" si="59"/>
        <v>0.414780923</v>
      </c>
      <c r="G105" s="20">
        <f t="shared" si="59"/>
        <v>0.5487842699</v>
      </c>
      <c r="H105" s="20">
        <f t="shared" si="59"/>
        <v>0.6843432465</v>
      </c>
      <c r="I105" s="20">
        <f t="shared" si="59"/>
        <v>0.8186142693</v>
      </c>
      <c r="J105" s="20">
        <f t="shared" si="59"/>
        <v>0.952954442</v>
      </c>
      <c r="K105" s="20">
        <f t="shared" si="59"/>
        <v>1.088486174</v>
      </c>
      <c r="L105" s="20">
        <f t="shared" si="59"/>
        <v>1.223068398</v>
      </c>
    </row>
    <row r="106">
      <c r="A106" s="27" t="s">
        <v>15</v>
      </c>
      <c r="C106" s="28">
        <f t="shared" ref="C106:L106" si="60">CEILING(C105 * 42500, 1)</f>
        <v>431</v>
      </c>
      <c r="D106" s="28">
        <f t="shared" si="60"/>
        <v>6165</v>
      </c>
      <c r="E106" s="28">
        <f t="shared" si="60"/>
        <v>11889</v>
      </c>
      <c r="F106" s="28">
        <f t="shared" si="60"/>
        <v>17629</v>
      </c>
      <c r="G106" s="28">
        <f t="shared" si="60"/>
        <v>23324</v>
      </c>
      <c r="H106" s="28">
        <f t="shared" si="60"/>
        <v>29085</v>
      </c>
      <c r="I106" s="28">
        <f t="shared" si="60"/>
        <v>34792</v>
      </c>
      <c r="J106" s="28">
        <f t="shared" si="60"/>
        <v>40501</v>
      </c>
      <c r="K106" s="28">
        <f t="shared" si="60"/>
        <v>46261</v>
      </c>
      <c r="L106" s="28">
        <f t="shared" si="60"/>
        <v>51981</v>
      </c>
    </row>
    <row r="107">
      <c r="A107" s="29" t="s">
        <v>16</v>
      </c>
      <c r="B107" s="30">
        <f>1.3 * 1.01</f>
        <v>1.313</v>
      </c>
      <c r="C107" s="31" t="s">
        <v>17</v>
      </c>
      <c r="D107" s="31" t="s">
        <v>17</v>
      </c>
      <c r="E107" s="32">
        <f t="shared" ref="E107:L107" si="61">(E93 + 1) / $B107 - 1</f>
        <v>0.03363219741</v>
      </c>
      <c r="F107" s="32">
        <f t="shared" si="61"/>
        <v>0.1427076686</v>
      </c>
      <c r="G107" s="32">
        <f t="shared" si="61"/>
        <v>0.250941141</v>
      </c>
      <c r="H107" s="32">
        <f t="shared" si="61"/>
        <v>0.3604310837</v>
      </c>
      <c r="I107" s="32">
        <f t="shared" si="61"/>
        <v>0.468880756</v>
      </c>
      <c r="J107" s="32">
        <f t="shared" si="61"/>
        <v>0.5773862801</v>
      </c>
      <c r="K107" s="32">
        <f t="shared" si="61"/>
        <v>0.6868542176</v>
      </c>
      <c r="L107" s="32">
        <f t="shared" si="61"/>
        <v>0.7955552444</v>
      </c>
    </row>
    <row r="108">
      <c r="A108" s="33" t="s">
        <v>15</v>
      </c>
      <c r="B108" s="34"/>
      <c r="C108" s="35" t="s">
        <v>17</v>
      </c>
      <c r="D108" s="35" t="s">
        <v>17</v>
      </c>
      <c r="E108" s="36">
        <f t="shared" ref="E108:L108" si="62">CEILING(E107 * 42500, 1)</f>
        <v>1430</v>
      </c>
      <c r="F108" s="36">
        <f t="shared" si="62"/>
        <v>6066</v>
      </c>
      <c r="G108" s="36">
        <f t="shared" si="62"/>
        <v>10665</v>
      </c>
      <c r="H108" s="36">
        <f t="shared" si="62"/>
        <v>15319</v>
      </c>
      <c r="I108" s="36">
        <f t="shared" si="62"/>
        <v>19928</v>
      </c>
      <c r="J108" s="36">
        <f t="shared" si="62"/>
        <v>24539</v>
      </c>
      <c r="K108" s="36">
        <f t="shared" si="62"/>
        <v>29192</v>
      </c>
      <c r="L108" s="36">
        <f t="shared" si="62"/>
        <v>33812</v>
      </c>
    </row>
    <row r="109">
      <c r="A109" s="29" t="s">
        <v>18</v>
      </c>
      <c r="B109" s="30">
        <f>1.3 * 1.05 * 1.01</f>
        <v>1.37865</v>
      </c>
      <c r="C109" s="31" t="s">
        <v>17</v>
      </c>
      <c r="D109" s="31" t="s">
        <v>17</v>
      </c>
      <c r="E109" s="31" t="s">
        <v>17</v>
      </c>
      <c r="F109" s="32">
        <f t="shared" ref="F109:L109" si="63">(F93 + 1) / $B109 - 1</f>
        <v>0.08829301767</v>
      </c>
      <c r="G109" s="32">
        <f t="shared" si="63"/>
        <v>0.1913725153</v>
      </c>
      <c r="H109" s="32">
        <f t="shared" si="63"/>
        <v>0.2956486511</v>
      </c>
      <c r="I109" s="32">
        <f t="shared" si="63"/>
        <v>0.3989340533</v>
      </c>
      <c r="J109" s="32">
        <f t="shared" si="63"/>
        <v>0.5022726477</v>
      </c>
      <c r="K109" s="32">
        <f t="shared" si="63"/>
        <v>0.6065278262</v>
      </c>
      <c r="L109" s="32">
        <f t="shared" si="63"/>
        <v>0.7100526138</v>
      </c>
    </row>
    <row r="110">
      <c r="A110" s="33" t="s">
        <v>15</v>
      </c>
      <c r="B110" s="34"/>
      <c r="C110" s="35" t="s">
        <v>17</v>
      </c>
      <c r="D110" s="35" t="s">
        <v>17</v>
      </c>
      <c r="E110" s="35" t="s">
        <v>17</v>
      </c>
      <c r="F110" s="36">
        <f t="shared" ref="F110:L110" si="64">CEILING(F109 * 42500, 1)</f>
        <v>3753</v>
      </c>
      <c r="G110" s="36">
        <f t="shared" si="64"/>
        <v>8134</v>
      </c>
      <c r="H110" s="36">
        <f t="shared" si="64"/>
        <v>12566</v>
      </c>
      <c r="I110" s="36">
        <f t="shared" si="64"/>
        <v>16955</v>
      </c>
      <c r="J110" s="36">
        <f t="shared" si="64"/>
        <v>21347</v>
      </c>
      <c r="K110" s="36">
        <f t="shared" si="64"/>
        <v>25778</v>
      </c>
      <c r="L110" s="36">
        <f t="shared" si="64"/>
        <v>30178</v>
      </c>
    </row>
    <row r="111">
      <c r="A111" s="42"/>
      <c r="B111" s="40"/>
      <c r="C111" s="34"/>
      <c r="D111" s="34"/>
      <c r="E111" s="34"/>
      <c r="F111" s="34"/>
      <c r="G111" s="34"/>
      <c r="H111" s="3"/>
      <c r="I111" s="4"/>
      <c r="J111" s="4"/>
      <c r="K111" s="4"/>
      <c r="L111" s="34"/>
    </row>
    <row r="112">
      <c r="A112" s="42"/>
      <c r="B112" s="40"/>
      <c r="C112" s="34"/>
      <c r="D112" s="34"/>
      <c r="E112" s="34"/>
      <c r="F112" s="34"/>
      <c r="G112" s="34"/>
      <c r="H112" s="3"/>
      <c r="I112" s="4"/>
      <c r="J112" s="4"/>
      <c r="K112" s="4"/>
      <c r="L112" s="34"/>
    </row>
  </sheetData>
  <drawing r:id="rId1"/>
</worksheet>
</file>