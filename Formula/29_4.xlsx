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est Shadow" sheetId="1" r:id="rId5"/>
    <sheet state="hidden" name="TODO - Shaman Restoration" sheetId="2" r:id="rId6"/>
  </sheets>
  <definedNames/>
  <calcPr/>
</workbook>
</file>

<file path=xl/sharedStrings.xml><?xml version="1.0" encoding="utf-8"?>
<sst xmlns="http://schemas.openxmlformats.org/spreadsheetml/2006/main" count="48" uniqueCount="35">
  <si>
    <t xml:space="preserve"> </t>
  </si>
  <si>
    <t>Vampiric Touch</t>
  </si>
  <si>
    <t>Ticks</t>
  </si>
  <si>
    <t>TickSpeed</t>
  </si>
  <si>
    <t>Adjusted TS</t>
  </si>
  <si>
    <t>Haste BP</t>
  </si>
  <si>
    <t>Haste req</t>
  </si>
  <si>
    <t>Rating req</t>
  </si>
  <si>
    <t>Input personal</t>
  </si>
  <si>
    <t>Mind Flay</t>
  </si>
  <si>
    <t>haste rating:</t>
  </si>
  <si>
    <t>Mind Blast</t>
  </si>
  <si>
    <t>Haste Raid Buff</t>
  </si>
  <si>
    <t>Berserking</t>
  </si>
  <si>
    <t>Lust</t>
  </si>
  <si>
    <t>Lifeblood</t>
  </si>
  <si>
    <t>Kafa Press</t>
  </si>
  <si>
    <t>Tempus Repit</t>
  </si>
  <si>
    <t>Power Infusion</t>
  </si>
  <si>
    <t>Devouring Plague</t>
  </si>
  <si>
    <t>Goblin</t>
  </si>
  <si>
    <t>T14 4P</t>
  </si>
  <si>
    <t>Shadow Word: Pain</t>
  </si>
  <si>
    <t>Go to 'File' &gt; 'Make a Copy' in order to interact with the calculator</t>
  </si>
  <si>
    <t>Live link</t>
  </si>
  <si>
    <t>Scolix on Discord for any input</t>
  </si>
  <si>
    <t xml:space="preserve">                    Riptide</t>
  </si>
  <si>
    <t>Updated: 31/05</t>
  </si>
  <si>
    <t>Healing Surge</t>
  </si>
  <si>
    <r>
      <rPr>
        <rFont val="Arial"/>
        <b/>
        <color theme="1"/>
      </rPr>
      <t>'</t>
    </r>
    <r>
      <rPr>
        <rFont val="Arial"/>
        <b/>
        <i/>
        <color rgb="FF93C47D"/>
      </rPr>
      <t>Haste req</t>
    </r>
    <r>
      <rPr>
        <rFont val="Arial"/>
        <b/>
        <i/>
        <color theme="1"/>
      </rPr>
      <t>'</t>
    </r>
    <r>
      <rPr>
        <rFont val="Arial"/>
        <b/>
        <color theme="1"/>
      </rPr>
      <t xml:space="preserve"> &amp; </t>
    </r>
    <r>
      <rPr>
        <rFont val="Arial"/>
        <b/>
        <i/>
        <color theme="1"/>
      </rPr>
      <t>'</t>
    </r>
    <r>
      <rPr>
        <rFont val="Arial"/>
        <b/>
        <i/>
        <color rgb="FF4A86E8"/>
      </rPr>
      <t>Rating req</t>
    </r>
    <r>
      <rPr>
        <rFont val="Arial"/>
        <b/>
        <i/>
        <color theme="1"/>
      </rPr>
      <t>'</t>
    </r>
    <r>
      <rPr>
        <rFont val="Arial"/>
        <b/>
        <color theme="1"/>
      </rPr>
      <t xml:space="preserve"> = the amount of haste % and haste rating your character sheet needs to be</t>
    </r>
    <r>
      <rPr>
        <rFont val="Arial"/>
        <b/>
        <i/>
        <color theme="1"/>
      </rPr>
      <t xml:space="preserve"> at</t>
    </r>
    <r>
      <rPr>
        <rFont val="Arial"/>
        <b/>
        <color theme="1"/>
      </rPr>
      <t xml:space="preserve"> to reach the breakpoint</t>
    </r>
  </si>
  <si>
    <r>
      <rPr>
        <rFont val="Arial"/>
        <b/>
        <color theme="1"/>
      </rPr>
      <t>'</t>
    </r>
    <r>
      <rPr>
        <rFont val="Arial"/>
        <b/>
        <i/>
        <color rgb="FF666666"/>
      </rPr>
      <t>Input personal haste rating</t>
    </r>
    <r>
      <rPr>
        <rFont val="Arial"/>
        <b/>
        <i/>
        <color theme="1"/>
      </rPr>
      <t>'</t>
    </r>
    <r>
      <rPr>
        <rFont val="Arial"/>
        <b/>
        <color theme="1"/>
      </rPr>
      <t xml:space="preserve"> =       adds your personal haste into to the calc. Changes the display to instead show the amount of haste you need to </t>
    </r>
    <r>
      <rPr>
        <rFont val="Arial"/>
        <b/>
        <i/>
        <color theme="1"/>
      </rPr>
      <t xml:space="preserve">gain </t>
    </r>
    <r>
      <rPr>
        <rFont val="Arial"/>
        <b/>
        <color theme="1"/>
      </rPr>
      <t>when toggled on</t>
    </r>
  </si>
  <si>
    <t>Earthliving Weapon</t>
  </si>
  <si>
    <t>Dark Intent</t>
  </si>
  <si>
    <r>
      <rPr>
        <rFont val="Arial"/>
      </rPr>
      <t xml:space="preserve">Uses the formula &amp; calculations based on this spreadsheet: </t>
    </r>
    <r>
      <rPr>
        <rFont val="Arial"/>
        <color rgb="FF1155CC"/>
        <u/>
      </rPr>
      <t>https://docs.google.com/spreadsheets/d/1WLOZ1YevGPw_WZs0JhGzVVy906W5y0i9UqHa3ejyBkE/htmlview?pli=1#</t>
    </r>
  </si>
  <si>
    <t>Healing Rain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</si>
</sst>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000"/>
    <numFmt numFmtId="166" formatCode="0.000"/>
  </numFmts>
  <fonts count="14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Roboto"/>
    </font>
    <font/>
    <font>
      <b/>
      <sz val="9.0"/>
      <color theme="1"/>
      <name val="Roboto"/>
    </font>
    <font>
      <b/>
      <color theme="1"/>
      <name val="Roboto"/>
    </font>
    <font>
      <i/>
      <color theme="1"/>
      <name val="Roboto"/>
    </font>
    <font>
      <b/>
      <color theme="1"/>
      <name val="Arial"/>
    </font>
    <font>
      <b/>
      <sz val="12.0"/>
      <color rgb="FFFFFFFF"/>
      <name val="Arial"/>
    </font>
    <font>
      <color theme="1"/>
      <name val="Arial"/>
      <scheme val="minor"/>
    </font>
    <font>
      <b/>
      <u/>
      <color rgb="FF1155CC"/>
      <name val="Arial"/>
    </font>
    <font>
      <b/>
      <sz val="11.0"/>
      <color rgb="FFD5A6BD"/>
      <name val="Arial"/>
    </font>
    <font>
      <b/>
      <sz val="10.0"/>
      <color theme="1"/>
      <name val="Roboto"/>
    </font>
    <font>
      <u/>
      <color rgb="FF0000FF"/>
      <name val="Arial"/>
    </font>
  </fonts>
  <fills count="38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9FC5E8"/>
        <bgColor rgb="FF9FC5E8"/>
      </patternFill>
    </fill>
    <fill>
      <patternFill patternType="solid">
        <fgColor rgb="FFF6B26B"/>
        <bgColor rgb="FFF6B26B"/>
      </patternFill>
    </fill>
    <fill>
      <patternFill patternType="solid">
        <fgColor rgb="FFDD7E6B"/>
        <bgColor rgb="FFDD7E6B"/>
      </patternFill>
    </fill>
    <fill>
      <patternFill patternType="solid">
        <fgColor rgb="FFE06666"/>
        <bgColor rgb="FFE06666"/>
      </patternFill>
    </fill>
    <fill>
      <patternFill patternType="solid">
        <fgColor rgb="FFA64D79"/>
        <bgColor rgb="FFA64D79"/>
      </patternFill>
    </fill>
    <fill>
      <patternFill patternType="solid">
        <fgColor rgb="FF93C47D"/>
        <bgColor rgb="FF93C47D"/>
      </patternFill>
    </fill>
    <fill>
      <patternFill patternType="solid">
        <fgColor rgb="FF4A86E8"/>
        <bgColor rgb="FF4A86E8"/>
      </patternFill>
    </fill>
    <fill>
      <patternFill patternType="solid">
        <fgColor rgb="FFB7B7B7"/>
        <bgColor rgb="FFB7B7B7"/>
      </patternFill>
    </fill>
    <fill>
      <patternFill patternType="solid">
        <fgColor rgb="FF6FA8DC"/>
        <bgColor rgb="FF6FA8DC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F4E8"/>
        <bgColor rgb="FFFFF4E8"/>
      </patternFill>
    </fill>
    <fill>
      <patternFill patternType="solid">
        <fgColor rgb="FFF5D4CD"/>
        <bgColor rgb="FFF5D4CD"/>
      </patternFill>
    </fill>
    <fill>
      <patternFill patternType="solid">
        <fgColor rgb="FFFADBDB"/>
        <bgColor rgb="FFFADBDB"/>
      </patternFill>
    </fill>
    <fill>
      <patternFill patternType="solid">
        <fgColor rgb="FFEEBAD4"/>
        <bgColor rgb="FFEEBAD4"/>
      </patternFill>
    </fill>
    <fill>
      <patternFill patternType="solid">
        <fgColor rgb="FFC9EDBA"/>
        <bgColor rgb="FFC9EDBA"/>
      </patternFill>
    </fill>
    <fill>
      <patternFill patternType="solid">
        <fgColor rgb="FFBAD2FA"/>
        <bgColor rgb="FFBAD2FA"/>
      </patternFill>
    </fill>
    <fill>
      <patternFill patternType="solid">
        <fgColor rgb="FFEFEFEF"/>
        <bgColor rgb="FFEFEFEF"/>
      </patternFill>
    </fill>
    <fill>
      <patternFill patternType="solid">
        <fgColor rgb="FFC27BA0"/>
        <bgColor rgb="FFC27BA0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E1B995"/>
        <bgColor rgb="FFE1B995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A2C4C9"/>
        <bgColor rgb="FFA2C4C9"/>
      </patternFill>
    </fill>
    <fill>
      <patternFill patternType="solid">
        <fgColor rgb="FF000000"/>
        <bgColor rgb="FF000000"/>
      </patternFill>
    </fill>
    <fill>
      <patternFill patternType="solid">
        <fgColor rgb="FF4C1130"/>
        <bgColor rgb="FF4C1130"/>
      </patternFill>
    </fill>
    <fill>
      <patternFill patternType="solid">
        <fgColor rgb="FF6D9EEB"/>
        <bgColor rgb="FF6D9EEB"/>
      </patternFill>
    </fill>
    <fill>
      <patternFill patternType="solid">
        <fgColor rgb="FFCC4125"/>
        <bgColor rgb="FFCC4125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</fills>
  <borders count="2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2" xfId="0" applyAlignment="1" applyFont="1" applyNumberFormat="1">
      <alignment vertical="bottom"/>
    </xf>
    <xf borderId="0" fillId="2" fontId="1" numFmtId="0" xfId="0" applyFont="1"/>
    <xf borderId="1" fillId="3" fontId="2" numFmtId="0" xfId="0" applyAlignment="1" applyBorder="1" applyFill="1" applyFont="1">
      <alignment horizontal="center"/>
    </xf>
    <xf borderId="2" fillId="0" fontId="3" numFmtId="0" xfId="0" applyBorder="1" applyFont="1"/>
    <xf borderId="3" fillId="4" fontId="4" numFmtId="0" xfId="0" applyAlignment="1" applyBorder="1" applyFill="1" applyFont="1">
      <alignment horizontal="center"/>
    </xf>
    <xf borderId="4" fillId="5" fontId="4" numFmtId="0" xfId="0" applyAlignment="1" applyBorder="1" applyFill="1" applyFont="1">
      <alignment horizontal="center"/>
    </xf>
    <xf borderId="4" fillId="6" fontId="4" numFmtId="0" xfId="0" applyAlignment="1" applyBorder="1" applyFill="1" applyFont="1">
      <alignment horizontal="center"/>
    </xf>
    <xf borderId="4" fillId="7" fontId="4" numFmtId="0" xfId="0" applyAlignment="1" applyBorder="1" applyFill="1" applyFont="1">
      <alignment horizontal="center"/>
    </xf>
    <xf borderId="4" fillId="8" fontId="5" numFmtId="2" xfId="0" applyAlignment="1" applyBorder="1" applyFill="1" applyFont="1" applyNumberFormat="1">
      <alignment horizontal="center"/>
    </xf>
    <xf borderId="2" fillId="9" fontId="5" numFmtId="164" xfId="0" applyAlignment="1" applyBorder="1" applyFill="1" applyFont="1" applyNumberFormat="1">
      <alignment horizontal="center"/>
    </xf>
    <xf borderId="5" fillId="10" fontId="5" numFmtId="0" xfId="0" applyAlignment="1" applyBorder="1" applyFill="1" applyFont="1">
      <alignment horizontal="center"/>
    </xf>
    <xf borderId="6" fillId="0" fontId="3" numFmtId="0" xfId="0" applyBorder="1" applyFont="1"/>
    <xf borderId="1" fillId="11" fontId="2" numFmtId="0" xfId="0" applyAlignment="1" applyBorder="1" applyFill="1" applyFont="1">
      <alignment horizontal="center"/>
    </xf>
    <xf borderId="7" fillId="12" fontId="5" numFmtId="0" xfId="0" applyAlignment="1" applyBorder="1" applyFill="1" applyFont="1">
      <alignment horizontal="center"/>
    </xf>
    <xf borderId="8" fillId="13" fontId="6" numFmtId="2" xfId="0" applyAlignment="1" applyBorder="1" applyFill="1" applyFont="1" applyNumberFormat="1">
      <alignment horizontal="center"/>
    </xf>
    <xf borderId="9" fillId="14" fontId="6" numFmtId="165" xfId="0" applyAlignment="1" applyBorder="1" applyFill="1" applyFont="1" applyNumberFormat="1">
      <alignment horizontal="center"/>
    </xf>
    <xf borderId="9" fillId="15" fontId="6" numFmtId="165" xfId="0" applyAlignment="1" applyBorder="1" applyFill="1" applyFont="1" applyNumberFormat="1">
      <alignment horizontal="center"/>
    </xf>
    <xf borderId="9" fillId="16" fontId="5" numFmtId="2" xfId="0" applyAlignment="1" applyBorder="1" applyFill="1" applyFont="1" applyNumberFormat="1">
      <alignment horizontal="center"/>
    </xf>
    <xf borderId="10" fillId="17" fontId="5" numFmtId="1" xfId="0" applyAlignment="1" applyBorder="1" applyFill="1" applyFont="1" applyNumberFormat="1">
      <alignment horizontal="center"/>
    </xf>
    <xf borderId="11" fillId="10" fontId="5" numFmtId="0" xfId="0" applyAlignment="1" applyBorder="1" applyFont="1">
      <alignment horizontal="center"/>
    </xf>
    <xf borderId="12" fillId="0" fontId="3" numFmtId="0" xfId="0" applyBorder="1" applyFont="1"/>
    <xf borderId="1" fillId="3" fontId="5" numFmtId="2" xfId="0" applyAlignment="1" applyBorder="1" applyFont="1" applyNumberFormat="1">
      <alignment horizontal="center"/>
    </xf>
    <xf borderId="13" fillId="18" fontId="5" numFmtId="0" xfId="0" applyAlignment="1" applyBorder="1" applyFill="1" applyFont="1">
      <alignment horizontal="center"/>
    </xf>
    <xf borderId="9" fillId="19" fontId="6" numFmtId="2" xfId="0" applyAlignment="1" applyBorder="1" applyFill="1" applyFont="1" applyNumberFormat="1">
      <alignment horizontal="center"/>
    </xf>
    <xf borderId="9" fillId="20" fontId="6" numFmtId="165" xfId="0" applyAlignment="1" applyBorder="1" applyFill="1" applyFont="1" applyNumberFormat="1">
      <alignment horizontal="center"/>
    </xf>
    <xf borderId="9" fillId="21" fontId="6" numFmtId="165" xfId="0" applyAlignment="1" applyBorder="1" applyFill="1" applyFont="1" applyNumberFormat="1">
      <alignment horizontal="center"/>
    </xf>
    <xf borderId="9" fillId="22" fontId="5" numFmtId="2" xfId="0" applyAlignment="1" applyBorder="1" applyFill="1" applyFont="1" applyNumberFormat="1">
      <alignment horizontal="center"/>
    </xf>
    <xf borderId="10" fillId="23" fontId="5" numFmtId="1" xfId="0" applyAlignment="1" applyBorder="1" applyFill="1" applyFont="1" applyNumberFormat="1">
      <alignment horizontal="center"/>
    </xf>
    <xf borderId="3" fillId="24" fontId="1" numFmtId="0" xfId="0" applyAlignment="1" applyBorder="1" applyFill="1" applyFont="1">
      <alignment horizontal="center" readingOrder="0"/>
    </xf>
    <xf borderId="2" fillId="24" fontId="1" numFmtId="0" xfId="0" applyAlignment="1" applyBorder="1" applyFont="1">
      <alignment horizontal="center"/>
    </xf>
    <xf borderId="13" fillId="12" fontId="5" numFmtId="0" xfId="0" applyAlignment="1" applyBorder="1" applyFont="1">
      <alignment horizontal="center"/>
    </xf>
    <xf borderId="9" fillId="13" fontId="6" numFmtId="2" xfId="0" applyAlignment="1" applyBorder="1" applyFont="1" applyNumberFormat="1">
      <alignment horizontal="center"/>
    </xf>
    <xf borderId="1" fillId="25" fontId="2" numFmtId="0" xfId="0" applyAlignment="1" applyBorder="1" applyFill="1" applyFont="1">
      <alignment horizontal="center"/>
    </xf>
    <xf borderId="7" fillId="26" fontId="5" numFmtId="0" xfId="0" applyAlignment="1" applyBorder="1" applyFill="1" applyFont="1">
      <alignment horizontal="center"/>
    </xf>
    <xf borderId="6" fillId="26" fontId="1" numFmtId="0" xfId="0" applyAlignment="1" applyBorder="1" applyFont="1">
      <alignment horizontal="center" readingOrder="0"/>
    </xf>
    <xf borderId="1" fillId="15" fontId="5" numFmtId="2" xfId="0" applyAlignment="1" applyBorder="1" applyFont="1" applyNumberFormat="1">
      <alignment horizontal="center"/>
    </xf>
    <xf borderId="13" fillId="14" fontId="5" numFmtId="0" xfId="0" applyAlignment="1" applyBorder="1" applyFont="1">
      <alignment horizontal="center"/>
    </xf>
    <xf borderId="10" fillId="14" fontId="1" numFmtId="0" xfId="0" applyAlignment="1" applyBorder="1" applyFont="1">
      <alignment horizontal="center"/>
    </xf>
    <xf borderId="13" fillId="27" fontId="5" numFmtId="0" xfId="0" applyAlignment="1" applyBorder="1" applyFill="1" applyFont="1">
      <alignment horizontal="center"/>
    </xf>
    <xf borderId="10" fillId="27" fontId="1" numFmtId="0" xfId="0" applyAlignment="1" applyBorder="1" applyFont="1">
      <alignment horizontal="center"/>
    </xf>
    <xf borderId="13" fillId="16" fontId="5" numFmtId="0" xfId="0" applyAlignment="1" applyBorder="1" applyFont="1">
      <alignment horizontal="center"/>
    </xf>
    <xf borderId="10" fillId="16" fontId="1" numFmtId="0" xfId="0" applyAlignment="1" applyBorder="1" applyFont="1">
      <alignment horizontal="center"/>
    </xf>
    <xf borderId="13" fillId="28" fontId="5" numFmtId="0" xfId="0" applyAlignment="1" applyBorder="1" applyFill="1" applyFont="1">
      <alignment horizontal="center"/>
    </xf>
    <xf borderId="10" fillId="28" fontId="1" numFmtId="0" xfId="0" applyAlignment="1" applyBorder="1" applyFont="1">
      <alignment horizontal="center"/>
    </xf>
    <xf borderId="14" fillId="15" fontId="5" numFmtId="0" xfId="0" applyAlignment="1" applyBorder="1" applyFont="1">
      <alignment horizontal="center"/>
    </xf>
    <xf borderId="12" fillId="15" fontId="1" numFmtId="0" xfId="0" applyAlignment="1" applyBorder="1" applyFont="1">
      <alignment horizontal="center"/>
    </xf>
    <xf borderId="14" fillId="18" fontId="5" numFmtId="0" xfId="0" applyAlignment="1" applyBorder="1" applyFont="1">
      <alignment horizontal="center"/>
    </xf>
    <xf borderId="15" fillId="19" fontId="6" numFmtId="2" xfId="0" applyAlignment="1" applyBorder="1" applyFont="1" applyNumberFormat="1">
      <alignment horizontal="center"/>
    </xf>
    <xf borderId="15" fillId="20" fontId="6" numFmtId="165" xfId="0" applyAlignment="1" applyBorder="1" applyFont="1" applyNumberFormat="1">
      <alignment horizontal="center"/>
    </xf>
    <xf borderId="15" fillId="21" fontId="6" numFmtId="165" xfId="0" applyAlignment="1" applyBorder="1" applyFont="1" applyNumberFormat="1">
      <alignment horizontal="center"/>
    </xf>
    <xf borderId="15" fillId="22" fontId="5" numFmtId="2" xfId="0" applyAlignment="1" applyBorder="1" applyFont="1" applyNumberFormat="1">
      <alignment horizontal="center"/>
    </xf>
    <xf borderId="12" fillId="23" fontId="5" numFmtId="1" xfId="0" applyAlignment="1" applyBorder="1" applyFont="1" applyNumberFormat="1">
      <alignment horizontal="center"/>
    </xf>
    <xf borderId="0" fillId="2" fontId="1" numFmtId="2" xfId="0" applyFont="1" applyNumberFormat="1"/>
    <xf borderId="0" fillId="2" fontId="1" numFmtId="1" xfId="0" applyFont="1" applyNumberFormat="1"/>
    <xf borderId="16" fillId="29" fontId="5" numFmtId="0" xfId="0" applyAlignment="1" applyBorder="1" applyFill="1" applyFont="1">
      <alignment horizontal="center"/>
    </xf>
    <xf borderId="16" fillId="29" fontId="1" numFmtId="0" xfId="0" applyAlignment="1" applyBorder="1" applyFont="1">
      <alignment horizontal="center"/>
    </xf>
    <xf borderId="1" fillId="30" fontId="2" numFmtId="0" xfId="0" applyAlignment="1" applyBorder="1" applyFill="1" applyFont="1">
      <alignment horizontal="center"/>
    </xf>
    <xf borderId="17" fillId="13" fontId="6" numFmtId="2" xfId="0" applyAlignment="1" applyBorder="1" applyFont="1" applyNumberFormat="1">
      <alignment horizontal="center"/>
    </xf>
    <xf borderId="17" fillId="14" fontId="6" numFmtId="165" xfId="0" applyAlignment="1" applyBorder="1" applyFont="1" applyNumberFormat="1">
      <alignment horizontal="center"/>
    </xf>
    <xf borderId="18" fillId="15" fontId="6" numFmtId="165" xfId="0" applyAlignment="1" applyBorder="1" applyFont="1" applyNumberFormat="1">
      <alignment horizontal="center"/>
    </xf>
    <xf borderId="3" fillId="31" fontId="5" numFmtId="0" xfId="0" applyAlignment="1" applyBorder="1" applyFill="1" applyFont="1">
      <alignment horizontal="center"/>
    </xf>
    <xf borderId="2" fillId="31" fontId="1" numFmtId="0" xfId="0" applyAlignment="1" applyBorder="1" applyFont="1">
      <alignment horizontal="center" readingOrder="0"/>
    </xf>
    <xf borderId="0" fillId="21" fontId="6" numFmtId="165" xfId="0" applyAlignment="1" applyFont="1" applyNumberFormat="1">
      <alignment horizontal="center"/>
    </xf>
    <xf borderId="0" fillId="15" fontId="6" numFmtId="165" xfId="0" applyAlignment="1" applyFont="1" applyNumberFormat="1">
      <alignment horizontal="center"/>
    </xf>
    <xf borderId="16" fillId="3" fontId="7" numFmtId="0" xfId="0" applyAlignment="1" applyBorder="1" applyFont="1">
      <alignment horizontal="center"/>
    </xf>
    <xf borderId="16" fillId="3" fontId="1" numFmtId="0" xfId="0" applyAlignment="1" applyBorder="1" applyFont="1">
      <alignment horizontal="center"/>
    </xf>
    <xf borderId="0" fillId="2" fontId="1" numFmtId="165" xfId="0" applyFont="1" applyNumberFormat="1"/>
    <xf borderId="14" fillId="12" fontId="5" numFmtId="0" xfId="0" applyAlignment="1" applyBorder="1" applyFont="1">
      <alignment horizontal="center"/>
    </xf>
    <xf borderId="15" fillId="13" fontId="6" numFmtId="2" xfId="0" applyAlignment="1" applyBorder="1" applyFont="1" applyNumberFormat="1">
      <alignment horizontal="center"/>
    </xf>
    <xf borderId="15" fillId="14" fontId="6" numFmtId="165" xfId="0" applyAlignment="1" applyBorder="1" applyFont="1" applyNumberFormat="1">
      <alignment horizontal="center"/>
    </xf>
    <xf borderId="19" fillId="15" fontId="6" numFmtId="165" xfId="0" applyAlignment="1" applyBorder="1" applyFont="1" applyNumberFormat="1">
      <alignment horizontal="center"/>
    </xf>
    <xf borderId="15" fillId="16" fontId="5" numFmtId="2" xfId="0" applyAlignment="1" applyBorder="1" applyFont="1" applyNumberFormat="1">
      <alignment horizontal="center"/>
    </xf>
    <xf borderId="12" fillId="17" fontId="5" numFmtId="1" xfId="0" applyAlignment="1" applyBorder="1" applyFont="1" applyNumberFormat="1">
      <alignment horizontal="center"/>
    </xf>
    <xf borderId="1" fillId="5" fontId="5" numFmtId="0" xfId="0" applyAlignment="1" applyBorder="1" applyFont="1">
      <alignment horizontal="center"/>
    </xf>
    <xf borderId="0" fillId="2" fontId="1" numFmtId="166" xfId="0" applyFont="1" applyNumberFormat="1"/>
    <xf borderId="0" fillId="2" fontId="1" numFmtId="166" xfId="0" applyAlignment="1" applyFont="1" applyNumberFormat="1">
      <alignment vertical="bottom"/>
    </xf>
    <xf borderId="17" fillId="15" fontId="6" numFmtId="165" xfId="0" applyAlignment="1" applyBorder="1" applyFont="1" applyNumberFormat="1">
      <alignment horizontal="center"/>
    </xf>
    <xf borderId="6" fillId="17" fontId="5" numFmtId="1" xfId="0" applyAlignment="1" applyBorder="1" applyFont="1" applyNumberFormat="1">
      <alignment horizontal="center"/>
    </xf>
    <xf borderId="0" fillId="32" fontId="8" numFmtId="0" xfId="0" applyAlignment="1" applyFill="1" applyFont="1">
      <alignment readingOrder="0" shrinkToFit="0" vertical="bottom" wrapText="0"/>
    </xf>
    <xf borderId="0" fillId="32" fontId="8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9" numFmtId="0" xfId="0" applyFont="1"/>
    <xf borderId="20" fillId="8" fontId="10" numFmtId="0" xfId="0" applyAlignment="1" applyBorder="1" applyFont="1">
      <alignment horizontal="center" vertical="center"/>
    </xf>
    <xf borderId="1" fillId="33" fontId="11" numFmtId="0" xfId="0" applyAlignment="1" applyBorder="1" applyFill="1" applyFont="1">
      <alignment shrinkToFit="0" vertical="bottom" wrapText="0"/>
    </xf>
    <xf borderId="21" fillId="0" fontId="3" numFmtId="0" xfId="0" applyBorder="1" applyFont="1"/>
    <xf borderId="0" fillId="0" fontId="1" numFmtId="0" xfId="0" applyAlignment="1" applyFont="1">
      <alignment horizontal="center" vertical="center"/>
    </xf>
    <xf borderId="1" fillId="34" fontId="12" numFmtId="0" xfId="0" applyAlignment="1" applyBorder="1" applyFill="1" applyFont="1">
      <alignment horizontal="center" readingOrder="0" vertical="center"/>
    </xf>
    <xf borderId="2" fillId="34" fontId="12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22" fillId="8" fontId="7" numFmtId="0" xfId="0" applyAlignment="1" applyBorder="1" applyFont="1">
      <alignment horizontal="center" readingOrder="0" vertical="bottom"/>
    </xf>
    <xf borderId="3" fillId="4" fontId="4" numFmtId="0" xfId="0" applyAlignment="1" applyBorder="1" applyFont="1">
      <alignment horizontal="center" vertical="center"/>
    </xf>
    <xf borderId="4" fillId="5" fontId="4" numFmtId="0" xfId="0" applyAlignment="1" applyBorder="1" applyFont="1">
      <alignment horizontal="center" vertical="center"/>
    </xf>
    <xf borderId="4" fillId="6" fontId="4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 vertical="center"/>
    </xf>
    <xf borderId="4" fillId="8" fontId="12" numFmtId="2" xfId="0" applyAlignment="1" applyBorder="1" applyFont="1" applyNumberFormat="1">
      <alignment horizontal="center" vertical="center"/>
    </xf>
    <xf borderId="2" fillId="9" fontId="12" numFmtId="164" xfId="0" applyAlignment="1" applyBorder="1" applyFont="1" applyNumberFormat="1">
      <alignment horizontal="center" vertical="center"/>
    </xf>
    <xf borderId="1" fillId="35" fontId="2" numFmtId="0" xfId="0" applyAlignment="1" applyBorder="1" applyFill="1" applyFont="1">
      <alignment horizontal="center" readingOrder="0" vertical="center"/>
    </xf>
    <xf borderId="5" fillId="12" fontId="5" numFmtId="0" xfId="0" applyAlignment="1" applyBorder="1" applyFont="1">
      <alignment horizontal="center" readingOrder="0" vertical="center"/>
    </xf>
    <xf borderId="8" fillId="13" fontId="6" numFmtId="2" xfId="0" applyAlignment="1" applyBorder="1" applyFont="1" applyNumberFormat="1">
      <alignment horizontal="center" vertical="center"/>
    </xf>
    <xf borderId="18" fillId="14" fontId="6" numFmtId="165" xfId="0" applyAlignment="1" applyBorder="1" applyFont="1" applyNumberFormat="1">
      <alignment horizontal="center" vertical="center"/>
    </xf>
    <xf borderId="8" fillId="15" fontId="6" numFmtId="165" xfId="0" applyAlignment="1" applyBorder="1" applyFont="1" applyNumberFormat="1">
      <alignment horizontal="center" vertical="center"/>
    </xf>
    <xf borderId="18" fillId="16" fontId="5" numFmtId="2" xfId="0" applyAlignment="1" applyBorder="1" applyFont="1" applyNumberFormat="1">
      <alignment horizontal="center" vertical="center"/>
    </xf>
    <xf borderId="23" fillId="17" fontId="5" numFmtId="1" xfId="0" applyAlignment="1" applyBorder="1" applyFont="1" applyNumberFormat="1">
      <alignment horizontal="center" vertical="center"/>
    </xf>
    <xf borderId="1" fillId="5" fontId="5" numFmtId="2" xfId="0" applyAlignment="1" applyBorder="1" applyFont="1" applyNumberFormat="1">
      <alignment horizontal="center" vertical="center"/>
    </xf>
    <xf quotePrefix="1" borderId="5" fillId="36" fontId="7" numFmtId="0" xfId="0" applyAlignment="1" applyBorder="1" applyFill="1" applyFont="1">
      <alignment horizontal="center" readingOrder="0" shrinkToFit="0" vertical="center" wrapText="1"/>
    </xf>
    <xf borderId="5" fillId="0" fontId="1" numFmtId="0" xfId="0" applyAlignment="1" applyBorder="1" applyFont="1">
      <alignment vertical="bottom"/>
    </xf>
    <xf borderId="18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24" fillId="18" fontId="5" numFmtId="0" xfId="0" applyAlignment="1" applyBorder="1" applyFont="1">
      <alignment horizontal="center" vertical="center"/>
    </xf>
    <xf borderId="25" fillId="19" fontId="6" numFmtId="2" xfId="0" applyAlignment="1" applyBorder="1" applyFont="1" applyNumberFormat="1">
      <alignment horizontal="center" vertical="center"/>
    </xf>
    <xf borderId="0" fillId="20" fontId="6" numFmtId="165" xfId="0" applyAlignment="1" applyFont="1" applyNumberFormat="1">
      <alignment horizontal="center" vertical="center"/>
    </xf>
    <xf borderId="25" fillId="21" fontId="6" numFmtId="165" xfId="0" applyAlignment="1" applyBorder="1" applyFont="1" applyNumberFormat="1">
      <alignment horizontal="center" vertical="center"/>
    </xf>
    <xf borderId="0" fillId="22" fontId="5" numFmtId="2" xfId="0" applyAlignment="1" applyFont="1" applyNumberFormat="1">
      <alignment horizontal="center" vertical="center"/>
    </xf>
    <xf borderId="26" fillId="23" fontId="5" numFmtId="1" xfId="0" applyAlignment="1" applyBorder="1" applyFont="1" applyNumberFormat="1">
      <alignment horizontal="center" vertical="center"/>
    </xf>
    <xf borderId="24" fillId="0" fontId="3" numFmtId="0" xfId="0" applyBorder="1" applyFont="1"/>
    <xf borderId="10" fillId="0" fontId="3" numFmtId="0" xfId="0" applyBorder="1" applyFont="1"/>
    <xf borderId="24" fillId="0" fontId="1" numFmtId="0" xfId="0" applyAlignment="1" applyBorder="1" applyFont="1">
      <alignment vertical="bottom"/>
    </xf>
    <xf borderId="10" fillId="0" fontId="1" numFmtId="0" xfId="0" applyAlignment="1" applyBorder="1" applyFont="1">
      <alignment vertical="bottom"/>
    </xf>
    <xf borderId="24" fillId="12" fontId="5" numFmtId="0" xfId="0" applyAlignment="1" applyBorder="1" applyFont="1">
      <alignment horizontal="center" vertical="center"/>
    </xf>
    <xf borderId="25" fillId="13" fontId="6" numFmtId="2" xfId="0" applyAlignment="1" applyBorder="1" applyFont="1" applyNumberFormat="1">
      <alignment horizontal="center" vertical="center"/>
    </xf>
    <xf borderId="0" fillId="14" fontId="6" numFmtId="165" xfId="0" applyAlignment="1" applyFont="1" applyNumberFormat="1">
      <alignment horizontal="center" vertical="center"/>
    </xf>
    <xf borderId="25" fillId="15" fontId="6" numFmtId="165" xfId="0" applyAlignment="1" applyBorder="1" applyFont="1" applyNumberFormat="1">
      <alignment horizontal="center" vertical="center"/>
    </xf>
    <xf borderId="0" fillId="16" fontId="5" numFmtId="2" xfId="0" applyAlignment="1" applyFont="1" applyNumberFormat="1">
      <alignment horizontal="center" vertical="center"/>
    </xf>
    <xf borderId="26" fillId="17" fontId="5" numFmtId="1" xfId="0" applyAlignment="1" applyBorder="1" applyFont="1" applyNumberFormat="1">
      <alignment horizontal="center" vertical="center"/>
    </xf>
    <xf borderId="5" fillId="10" fontId="5" numFmtId="0" xfId="0" applyAlignment="1" applyBorder="1" applyFont="1">
      <alignment horizontal="center" vertical="center"/>
    </xf>
    <xf borderId="11" fillId="10" fontId="5" numFmtId="0" xfId="0" applyAlignment="1" applyBorder="1" applyFont="1">
      <alignment horizontal="center" vertical="center"/>
    </xf>
    <xf borderId="3" fillId="24" fontId="1" numFmtId="0" xfId="0" applyAlignment="1" applyBorder="1" applyFont="1">
      <alignment horizontal="center" vertical="center"/>
    </xf>
    <xf borderId="2" fillId="24" fontId="1" numFmtId="0" xfId="0" applyAlignment="1" applyBorder="1" applyFont="1">
      <alignment horizontal="center" readingOrder="0" vertical="center"/>
    </xf>
    <xf borderId="11" fillId="0" fontId="3" numFmtId="0" xfId="0" applyBorder="1" applyFont="1"/>
    <xf borderId="11" fillId="0" fontId="1" numFmtId="0" xfId="0" applyAlignment="1" applyBorder="1" applyFont="1">
      <alignment vertical="bottom"/>
    </xf>
    <xf borderId="19" fillId="0" fontId="1" numFmtId="0" xfId="0" applyAlignment="1" applyBorder="1" applyFont="1">
      <alignment vertical="bottom"/>
    </xf>
    <xf borderId="12" fillId="0" fontId="1" numFmtId="0" xfId="0" applyAlignment="1" applyBorder="1" applyFont="1">
      <alignment vertical="bottom"/>
    </xf>
    <xf borderId="11" fillId="12" fontId="5" numFmtId="0" xfId="0" applyAlignment="1" applyBorder="1" applyFont="1">
      <alignment horizontal="center" vertical="center"/>
    </xf>
    <xf borderId="27" fillId="13" fontId="6" numFmtId="2" xfId="0" applyAlignment="1" applyBorder="1" applyFont="1" applyNumberFormat="1">
      <alignment horizontal="center" vertical="center"/>
    </xf>
    <xf borderId="19" fillId="20" fontId="6" numFmtId="165" xfId="0" applyAlignment="1" applyBorder="1" applyFont="1" applyNumberFormat="1">
      <alignment horizontal="center" vertical="center"/>
    </xf>
    <xf borderId="27" fillId="15" fontId="6" numFmtId="165" xfId="0" applyAlignment="1" applyBorder="1" applyFont="1" applyNumberFormat="1">
      <alignment horizontal="center" vertical="center"/>
    </xf>
    <xf borderId="19" fillId="16" fontId="5" numFmtId="2" xfId="0" applyAlignment="1" applyBorder="1" applyFont="1" applyNumberFormat="1">
      <alignment horizontal="center" vertical="center"/>
    </xf>
    <xf borderId="28" fillId="17" fontId="5" numFmtId="1" xfId="0" applyAlignment="1" applyBorder="1" applyFont="1" applyNumberFormat="1">
      <alignment horizontal="center" vertical="center"/>
    </xf>
    <xf borderId="13" fillId="26" fontId="5" numFmtId="0" xfId="0" applyAlignment="1" applyBorder="1" applyFont="1">
      <alignment horizontal="center" readingOrder="0" vertical="center"/>
    </xf>
    <xf borderId="10" fillId="26" fontId="1" numFmtId="0" xfId="0" applyAlignment="1" applyBorder="1" applyFont="1">
      <alignment horizontal="center" readingOrder="0" vertical="center"/>
    </xf>
    <xf borderId="13" fillId="14" fontId="5" numFmtId="0" xfId="0" applyAlignment="1" applyBorder="1" applyFont="1">
      <alignment horizontal="center" vertical="center"/>
    </xf>
    <xf borderId="10" fillId="14" fontId="1" numFmtId="0" xfId="0" applyAlignment="1" applyBorder="1" applyFont="1">
      <alignment horizontal="center" readingOrder="0" vertical="center"/>
    </xf>
    <xf quotePrefix="1" borderId="5" fillId="36" fontId="7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vertical="center"/>
    </xf>
    <xf borderId="1" fillId="31" fontId="12" numFmtId="0" xfId="0" applyAlignment="1" applyBorder="1" applyFont="1">
      <alignment horizontal="center" readingOrder="0" vertical="center"/>
    </xf>
    <xf borderId="0" fillId="17" fontId="5" numFmtId="1" xfId="0" applyAlignment="1" applyFont="1" applyNumberFormat="1">
      <alignment horizontal="center" vertical="center"/>
    </xf>
    <xf borderId="14" fillId="27" fontId="5" numFmtId="0" xfId="0" applyAlignment="1" applyBorder="1" applyFont="1">
      <alignment horizontal="center" vertical="center"/>
    </xf>
    <xf borderId="12" fillId="27" fontId="1" numFmtId="0" xfId="0" applyAlignment="1" applyBorder="1" applyFont="1">
      <alignment horizontal="center" readingOrder="0" vertical="center"/>
    </xf>
    <xf borderId="0" fillId="0" fontId="1" numFmtId="0" xfId="0" applyFont="1"/>
    <xf borderId="7" fillId="37" fontId="5" numFmtId="0" xfId="0" applyAlignment="1" applyBorder="1" applyFill="1" applyFont="1">
      <alignment horizontal="center" vertical="center"/>
    </xf>
    <xf borderId="6" fillId="37" fontId="1" numFmtId="0" xfId="0" applyAlignment="1" applyBorder="1" applyFont="1">
      <alignment horizontal="center" readingOrder="0" vertical="center"/>
    </xf>
    <xf borderId="14" fillId="29" fontId="5" numFmtId="0" xfId="0" applyAlignment="1" applyBorder="1" applyFont="1">
      <alignment horizontal="center" vertical="center"/>
    </xf>
    <xf borderId="12" fillId="29" fontId="1" numFmtId="0" xfId="0" applyAlignment="1" applyBorder="1" applyFont="1">
      <alignment horizontal="center" readingOrder="0" vertical="center"/>
    </xf>
    <xf borderId="3" fillId="31" fontId="5" numFmtId="0" xfId="0" applyAlignment="1" applyBorder="1" applyFont="1">
      <alignment horizontal="center" readingOrder="0" vertical="center"/>
    </xf>
    <xf borderId="2" fillId="31" fontId="1" numFmtId="2" xfId="0" applyAlignment="1" applyBorder="1" applyFont="1" applyNumberFormat="1">
      <alignment horizontal="center" readingOrder="0" vertical="center"/>
    </xf>
    <xf borderId="11" fillId="18" fontId="5" numFmtId="0" xfId="0" applyAlignment="1" applyBorder="1" applyFont="1">
      <alignment horizontal="center" vertical="center"/>
    </xf>
    <xf borderId="27" fillId="19" fontId="6" numFmtId="2" xfId="0" applyAlignment="1" applyBorder="1" applyFont="1" applyNumberFormat="1">
      <alignment horizontal="center" vertical="center"/>
    </xf>
    <xf borderId="27" fillId="21" fontId="6" numFmtId="165" xfId="0" applyAlignment="1" applyBorder="1" applyFont="1" applyNumberFormat="1">
      <alignment horizontal="center" vertical="center"/>
    </xf>
    <xf borderId="19" fillId="22" fontId="5" numFmtId="2" xfId="0" applyAlignment="1" applyBorder="1" applyFont="1" applyNumberFormat="1">
      <alignment horizontal="center" vertical="center"/>
    </xf>
    <xf borderId="28" fillId="23" fontId="5" numFmtId="1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31" fontId="5" numFmtId="0" xfId="0" applyAlignment="1" applyFont="1">
      <alignment horizontal="center" vertical="center"/>
    </xf>
    <xf borderId="0" fillId="31" fontId="1" numFmtId="0" xfId="0" applyAlignment="1" applyFont="1">
      <alignment horizontal="center" vertical="center"/>
    </xf>
    <xf borderId="5" fillId="36" fontId="13" numFmtId="165" xfId="0" applyAlignment="1" applyBorder="1" applyFont="1" applyNumberFormat="1">
      <alignment horizontal="center" readingOrder="0" shrinkToFit="0" vertical="center" wrapText="1"/>
    </xf>
    <xf borderId="0" fillId="36" fontId="1" numFmtId="165" xfId="0" applyAlignment="1" applyFont="1" applyNumberFormat="1">
      <alignment horizontal="center" readingOrder="0" shrinkToFit="0" vertical="center" wrapText="1"/>
    </xf>
    <xf borderId="0" fillId="18" fontId="5" numFmtId="0" xfId="0" applyAlignment="1" applyFont="1">
      <alignment horizontal="center" vertical="center"/>
    </xf>
    <xf borderId="1" fillId="3" fontId="12" numFmtId="0" xfId="0" applyAlignment="1" applyBorder="1" applyFont="1">
      <alignment horizontal="center" readingOrder="0" vertical="center"/>
    </xf>
    <xf borderId="7" fillId="12" fontId="5" numFmtId="0" xfId="0" applyAlignment="1" applyBorder="1" applyFont="1">
      <alignment horizontal="center" readingOrder="0" vertical="center"/>
    </xf>
    <xf borderId="18" fillId="13" fontId="6" numFmtId="2" xfId="0" applyAlignment="1" applyBorder="1" applyFont="1" applyNumberFormat="1">
      <alignment horizontal="center" vertical="center"/>
    </xf>
    <xf borderId="8" fillId="14" fontId="6" numFmtId="165" xfId="0" applyAlignment="1" applyBorder="1" applyFont="1" applyNumberFormat="1">
      <alignment horizontal="center" vertical="center"/>
    </xf>
    <xf borderId="18" fillId="15" fontId="6" numFmtId="165" xfId="0" applyAlignment="1" applyBorder="1" applyFont="1" applyNumberFormat="1">
      <alignment horizontal="center" vertical="center"/>
    </xf>
    <xf borderId="8" fillId="16" fontId="5" numFmtId="2" xfId="0" applyAlignment="1" applyBorder="1" applyFont="1" applyNumberFormat="1">
      <alignment horizontal="center" vertical="center"/>
    </xf>
    <xf borderId="6" fillId="17" fontId="5" numFmtId="1" xfId="0" applyAlignment="1" applyBorder="1" applyFont="1" applyNumberFormat="1">
      <alignment horizontal="center" vertical="center"/>
    </xf>
    <xf borderId="13" fillId="18" fontId="5" numFmtId="0" xfId="0" applyAlignment="1" applyBorder="1" applyFont="1">
      <alignment horizontal="center" vertical="center"/>
    </xf>
    <xf borderId="0" fillId="19" fontId="6" numFmtId="2" xfId="0" applyAlignment="1" applyFont="1" applyNumberFormat="1">
      <alignment horizontal="center" vertical="center"/>
    </xf>
    <xf borderId="25" fillId="20" fontId="6" numFmtId="165" xfId="0" applyAlignment="1" applyBorder="1" applyFont="1" applyNumberFormat="1">
      <alignment horizontal="center" vertical="center"/>
    </xf>
    <xf borderId="0" fillId="21" fontId="6" numFmtId="165" xfId="0" applyAlignment="1" applyFont="1" applyNumberFormat="1">
      <alignment horizontal="center" vertical="center"/>
    </xf>
    <xf borderId="25" fillId="22" fontId="5" numFmtId="2" xfId="0" applyAlignment="1" applyBorder="1" applyFont="1" applyNumberFormat="1">
      <alignment horizontal="center" vertical="center"/>
    </xf>
    <xf borderId="10" fillId="23" fontId="5" numFmtId="1" xfId="0" applyAlignment="1" applyBorder="1" applyFont="1" applyNumberFormat="1">
      <alignment horizontal="center" vertical="center"/>
    </xf>
    <xf borderId="13" fillId="12" fontId="5" numFmtId="0" xfId="0" applyAlignment="1" applyBorder="1" applyFont="1">
      <alignment horizontal="center" vertical="center"/>
    </xf>
    <xf borderId="0" fillId="13" fontId="6" numFmtId="2" xfId="0" applyAlignment="1" applyFont="1" applyNumberFormat="1">
      <alignment horizontal="center" vertical="center"/>
    </xf>
    <xf borderId="25" fillId="14" fontId="6" numFmtId="165" xfId="0" applyAlignment="1" applyBorder="1" applyFont="1" applyNumberFormat="1">
      <alignment horizontal="center" vertical="center"/>
    </xf>
    <xf borderId="0" fillId="15" fontId="6" numFmtId="165" xfId="0" applyAlignment="1" applyFont="1" applyNumberFormat="1">
      <alignment horizontal="center" vertical="center"/>
    </xf>
    <xf borderId="25" fillId="16" fontId="5" numFmtId="2" xfId="0" applyAlignment="1" applyBorder="1" applyFont="1" applyNumberFormat="1">
      <alignment horizontal="center" vertical="center"/>
    </xf>
    <xf borderId="10" fillId="17" fontId="5" numFmtId="1" xfId="0" applyAlignment="1" applyBorder="1" applyFont="1" applyNumberFormat="1">
      <alignment horizontal="center" vertical="center"/>
    </xf>
    <xf borderId="0" fillId="0" fontId="1" numFmtId="166" xfId="0" applyAlignment="1" applyFont="1" applyNumberFormat="1">
      <alignment vertical="bottom"/>
    </xf>
    <xf borderId="24" fillId="36" fontId="1" numFmtId="165" xfId="0" applyAlignment="1" applyBorder="1" applyFont="1" applyNumberFormat="1">
      <alignment horizontal="center" readingOrder="0" shrinkToFit="0" vertical="center" wrapText="1"/>
    </xf>
    <xf borderId="14" fillId="12" fontId="5" numFmtId="0" xfId="0" applyAlignment="1" applyBorder="1" applyFont="1">
      <alignment horizontal="center" vertical="center"/>
    </xf>
    <xf borderId="19" fillId="13" fontId="6" numFmtId="2" xfId="0" applyAlignment="1" applyBorder="1" applyFont="1" applyNumberFormat="1">
      <alignment horizontal="center" vertical="center"/>
    </xf>
    <xf borderId="27" fillId="14" fontId="6" numFmtId="165" xfId="0" applyAlignment="1" applyBorder="1" applyFont="1" applyNumberFormat="1">
      <alignment horizontal="center" vertical="center"/>
    </xf>
    <xf borderId="19" fillId="15" fontId="6" numFmtId="165" xfId="0" applyAlignment="1" applyBorder="1" applyFont="1" applyNumberFormat="1">
      <alignment horizontal="center" vertical="center"/>
    </xf>
    <xf borderId="27" fillId="16" fontId="5" numFmtId="2" xfId="0" applyAlignment="1" applyBorder="1" applyFont="1" applyNumberFormat="1">
      <alignment horizontal="center" vertical="center"/>
    </xf>
    <xf borderId="12" fillId="17" fontId="5" numFmtId="1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1" numFmtId="165" xfId="0" applyAlignment="1" applyFont="1" applyNumberFormat="1">
      <alignment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1" numFmtId="2" xfId="0" applyAlignment="1" applyFont="1" applyNumberFormat="1">
      <alignment horizontal="center" vertical="center"/>
    </xf>
  </cellXfs>
  <cellStyles count="1">
    <cellStyle xfId="0" name="Normal" builtinId="0"/>
  </cellStyles>
  <dxfs count="4">
    <dxf>
      <font>
        <color rgb="FFCFE2F3"/>
      </font>
      <fill>
        <patternFill patternType="solid">
          <fgColor rgb="FFC9DAF8"/>
          <bgColor rgb="FFC9DAF8"/>
        </patternFill>
      </fill>
      <border/>
    </dxf>
    <dxf>
      <font>
        <color rgb="FFD9EAD3"/>
      </font>
      <fill>
        <patternFill patternType="solid">
          <fgColor rgb="FFD9EAD3"/>
          <bgColor rgb="FFD9EAD3"/>
        </patternFill>
      </fill>
      <border/>
    </dxf>
    <dxf>
      <font>
        <color rgb="FFC9DAF8"/>
      </font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434343"/>
          <bgColor rgb="FF43434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200025</xdr:rowOff>
    </xdr:from>
    <xdr:ext cx="2609850" cy="1219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7cJJUReg2uz-XxBB3oDWb1kCncdH_-X96mSb0HAu4Ko/edit?usp=sharing" TargetMode="External"/><Relationship Id="rId2" Type="http://schemas.openxmlformats.org/officeDocument/2006/relationships/hyperlink" Target="https://docs.google.com/spreadsheets/d/1WLOZ1YevGPw_WZs0JhGzVVy906W5y0i9UqHa3ejyBkE/htmlview?pli=1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6.88"/>
    <col customWidth="1" min="3" max="3" width="9.13"/>
    <col customWidth="1" min="4" max="4" width="9.25"/>
    <col customWidth="1" min="5" max="5" width="8.5"/>
    <col customWidth="1" min="6" max="6" width="9.13"/>
    <col customWidth="1" min="7" max="7" width="8.13"/>
    <col customWidth="1" min="8" max="8" width="3.25"/>
    <col customWidth="1" min="9" max="9" width="13.13"/>
    <col customWidth="1" min="10" max="10" width="2.88"/>
    <col customWidth="1" min="11" max="11" width="3.25"/>
    <col customWidth="1" min="12" max="12" width="6.88"/>
    <col customWidth="1" min="13" max="13" width="9.13"/>
    <col customWidth="1" min="14" max="14" width="3.25"/>
  </cols>
  <sheetData>
    <row r="1">
      <c r="A1" s="1" t="s">
        <v>0</v>
      </c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</row>
    <row r="2">
      <c r="A2" s="3"/>
      <c r="B2" s="3"/>
      <c r="C2" s="3"/>
      <c r="D2" s="4" t="s">
        <v>1</v>
      </c>
      <c r="E2" s="5"/>
      <c r="F2" s="2"/>
      <c r="G2" s="3"/>
      <c r="H2" s="3"/>
      <c r="I2" s="3"/>
      <c r="J2" s="3"/>
      <c r="K2" s="3"/>
      <c r="L2" s="1"/>
      <c r="M2" s="1"/>
      <c r="N2" s="3"/>
    </row>
    <row r="3">
      <c r="A3" s="3"/>
      <c r="B3" s="6" t="s">
        <v>2</v>
      </c>
      <c r="C3" s="7" t="s">
        <v>3</v>
      </c>
      <c r="D3" s="8" t="s">
        <v>4</v>
      </c>
      <c r="E3" s="9" t="s">
        <v>5</v>
      </c>
      <c r="F3" s="10" t="s">
        <v>6</v>
      </c>
      <c r="G3" s="11" t="s">
        <v>7</v>
      </c>
      <c r="H3" s="3"/>
      <c r="I3" s="12" t="s">
        <v>8</v>
      </c>
      <c r="J3" s="13"/>
      <c r="K3" s="3"/>
      <c r="L3" s="14" t="s">
        <v>9</v>
      </c>
      <c r="M3" s="5"/>
      <c r="N3" s="3"/>
    </row>
    <row r="4">
      <c r="A4" s="3"/>
      <c r="B4" s="15">
        <v>7.0</v>
      </c>
      <c r="C4" s="16">
        <f t="shared" ref="C4:C13" si="1">IF($J$18=TRUE, 3000/(3000/(18000/(B4-0.5))), 3000/(3000/(15000/(B4-0.5))))</f>
        <v>2307.692308</v>
      </c>
      <c r="D4" s="17">
        <f t="shared" ref="D4:D13" si="2">IF(AND(ISODD(B4), C4=INT(C4)),C4  - 0.5001, INT(C4) + 0.4999)</f>
        <v>2307.4999</v>
      </c>
      <c r="E4" s="18">
        <f t="shared" ref="E4:E13" si="3">3000/D4</f>
        <v>1.300108399</v>
      </c>
      <c r="F4" s="19">
        <f t="shared" ref="F4:F13" si="4">((E4 / IF($J$7, 1.05, 1) / IF($J$8, 1.2, 1) / IF($J$9, 1.3, 1) / IF($J$12, 1.3, 1) / IF($J$14, 1.2, 1) / IF($J$16, 1.01, 1)-1)*100) - IF($J$5=TRUE,$I$5/425) - IF($J$10=TRUE,2880/425) - IF($J$11=TRUE,4000/425)</f>
        <v>28.72360383</v>
      </c>
      <c r="G4" s="20">
        <f t="shared" ref="G4:G13" si="5">ROUNDUP(F4*425,0)</f>
        <v>12208</v>
      </c>
      <c r="H4" s="3"/>
      <c r="I4" s="21" t="s">
        <v>10</v>
      </c>
      <c r="J4" s="22"/>
      <c r="K4" s="3"/>
      <c r="L4" s="23">
        <f>((3 / IF($J$7, 1.05, 1) / IF($M$19, 1.1, 1) / IF($J$8, 1.2, 1) / IF($J$9, 1.3, 1) / IF($J$12, 1.3, 1) / IF($J$14, 1.2, 1) / IF($J$16, 1.01, 1))) / (1+ IF($J$5=TRUE,$I$5/425/100,0) + IF($J$10=TRUE,(2880/425)/100,0) + IF($J$11=TRUE,(4000/425)/100,0))</f>
        <v>2.97029703</v>
      </c>
      <c r="M4" s="5"/>
      <c r="N4" s="3"/>
    </row>
    <row r="5">
      <c r="A5" s="3"/>
      <c r="B5" s="24">
        <f t="shared" ref="B5:B13" si="6">B4+1</f>
        <v>8</v>
      </c>
      <c r="C5" s="25">
        <f t="shared" si="1"/>
        <v>2000</v>
      </c>
      <c r="D5" s="26">
        <f t="shared" si="2"/>
        <v>2000.4999</v>
      </c>
      <c r="E5" s="27">
        <f t="shared" si="3"/>
        <v>1.499625169</v>
      </c>
      <c r="F5" s="28">
        <f t="shared" si="4"/>
        <v>48.47773947</v>
      </c>
      <c r="G5" s="29">
        <f t="shared" si="5"/>
        <v>20604</v>
      </c>
      <c r="H5" s="3"/>
      <c r="I5" s="30">
        <v>0.0</v>
      </c>
      <c r="J5" s="31" t="b">
        <v>0</v>
      </c>
      <c r="K5" s="3"/>
      <c r="L5" s="1"/>
      <c r="M5" s="1"/>
      <c r="N5" s="3"/>
    </row>
    <row r="6">
      <c r="A6" s="3"/>
      <c r="B6" s="32">
        <f t="shared" si="6"/>
        <v>9</v>
      </c>
      <c r="C6" s="33">
        <f t="shared" si="1"/>
        <v>1764.705882</v>
      </c>
      <c r="D6" s="17">
        <f t="shared" si="2"/>
        <v>1764.4999</v>
      </c>
      <c r="E6" s="18">
        <f t="shared" si="3"/>
        <v>1.700198453</v>
      </c>
      <c r="F6" s="19">
        <f t="shared" si="4"/>
        <v>68.33648048</v>
      </c>
      <c r="G6" s="20">
        <f t="shared" si="5"/>
        <v>29044</v>
      </c>
      <c r="H6" s="3"/>
      <c r="I6" s="3"/>
      <c r="J6" s="3"/>
      <c r="K6" s="3"/>
      <c r="L6" s="34" t="s">
        <v>11</v>
      </c>
      <c r="M6" s="5"/>
      <c r="N6" s="3"/>
    </row>
    <row r="7">
      <c r="A7" s="3"/>
      <c r="B7" s="24">
        <f t="shared" si="6"/>
        <v>10</v>
      </c>
      <c r="C7" s="25">
        <f t="shared" si="1"/>
        <v>1578.947368</v>
      </c>
      <c r="D7" s="26">
        <f t="shared" si="2"/>
        <v>1578.4999</v>
      </c>
      <c r="E7" s="27">
        <f t="shared" si="3"/>
        <v>1.900538606</v>
      </c>
      <c r="F7" s="28">
        <f t="shared" si="4"/>
        <v>88.17213924</v>
      </c>
      <c r="G7" s="29">
        <f t="shared" si="5"/>
        <v>37474</v>
      </c>
      <c r="H7" s="3"/>
      <c r="I7" s="35" t="s">
        <v>12</v>
      </c>
      <c r="J7" s="36" t="b">
        <v>0</v>
      </c>
      <c r="K7" s="3"/>
      <c r="L7" s="37">
        <f>((1.5 / IF($J$7, 1.05, 1) / IF($J$8, 1.2, 1) / IF(J$9, 1.3, 1) / IF($J$12, 1.3, 1) / IF($J$14, 1.2, 1) / IF($J$16, 1.01, 1))) / (1+ IF($J$5=TRUE,$I$5/425/100,0) + IF($J$10=TRUE,(2880/425)/100,0) + IF($J$11=TRUE,(4000/425)/100,0))</f>
        <v>1.485148515</v>
      </c>
      <c r="M7" s="5"/>
      <c r="N7" s="3"/>
    </row>
    <row r="8">
      <c r="A8" s="3"/>
      <c r="B8" s="32">
        <f t="shared" si="6"/>
        <v>11</v>
      </c>
      <c r="C8" s="33">
        <f t="shared" si="1"/>
        <v>1428.571429</v>
      </c>
      <c r="D8" s="17">
        <f t="shared" si="2"/>
        <v>1428.4999</v>
      </c>
      <c r="E8" s="18">
        <f t="shared" si="3"/>
        <v>2.100105152</v>
      </c>
      <c r="F8" s="19">
        <f t="shared" si="4"/>
        <v>107.9312032</v>
      </c>
      <c r="G8" s="20">
        <f t="shared" si="5"/>
        <v>45871</v>
      </c>
      <c r="H8" s="3"/>
      <c r="I8" s="38" t="s">
        <v>13</v>
      </c>
      <c r="J8" s="39" t="b">
        <v>0</v>
      </c>
      <c r="K8" s="3"/>
      <c r="L8" s="1"/>
      <c r="M8" s="1"/>
      <c r="N8" s="3"/>
    </row>
    <row r="9">
      <c r="A9" s="3"/>
      <c r="B9" s="24">
        <f t="shared" si="6"/>
        <v>12</v>
      </c>
      <c r="C9" s="25">
        <f t="shared" si="1"/>
        <v>1304.347826</v>
      </c>
      <c r="D9" s="26">
        <f t="shared" si="2"/>
        <v>1304.4999</v>
      </c>
      <c r="E9" s="27">
        <f t="shared" si="3"/>
        <v>2.299731874</v>
      </c>
      <c r="F9" s="28">
        <f t="shared" si="4"/>
        <v>127.6962252</v>
      </c>
      <c r="G9" s="29">
        <f t="shared" si="5"/>
        <v>54271</v>
      </c>
      <c r="H9" s="3"/>
      <c r="I9" s="40" t="s">
        <v>14</v>
      </c>
      <c r="J9" s="41" t="b">
        <v>0</v>
      </c>
      <c r="K9" s="3"/>
      <c r="L9" s="1"/>
      <c r="M9" s="1"/>
      <c r="N9" s="3"/>
    </row>
    <row r="10">
      <c r="A10" s="3"/>
      <c r="B10" s="32">
        <f t="shared" si="6"/>
        <v>13</v>
      </c>
      <c r="C10" s="33">
        <f t="shared" si="1"/>
        <v>1200</v>
      </c>
      <c r="D10" s="17">
        <f t="shared" si="2"/>
        <v>1199.4999</v>
      </c>
      <c r="E10" s="18">
        <f t="shared" si="3"/>
        <v>2.501042309</v>
      </c>
      <c r="F10" s="19">
        <f t="shared" si="4"/>
        <v>147.6279514</v>
      </c>
      <c r="G10" s="20">
        <f t="shared" si="5"/>
        <v>62742</v>
      </c>
      <c r="H10" s="3"/>
      <c r="I10" s="42" t="s">
        <v>15</v>
      </c>
      <c r="J10" s="43" t="b">
        <v>0</v>
      </c>
      <c r="K10" s="3"/>
      <c r="L10" s="1"/>
      <c r="M10" s="1"/>
      <c r="N10" s="3"/>
    </row>
    <row r="11">
      <c r="A11" s="3"/>
      <c r="B11" s="24">
        <f t="shared" si="6"/>
        <v>14</v>
      </c>
      <c r="C11" s="25">
        <f t="shared" si="1"/>
        <v>1111.111111</v>
      </c>
      <c r="D11" s="26">
        <f t="shared" si="2"/>
        <v>1111.4999</v>
      </c>
      <c r="E11" s="27">
        <f t="shared" si="3"/>
        <v>2.699055573</v>
      </c>
      <c r="F11" s="28">
        <f t="shared" si="4"/>
        <v>167.2332251</v>
      </c>
      <c r="G11" s="29">
        <f t="shared" si="5"/>
        <v>71075</v>
      </c>
      <c r="H11" s="3"/>
      <c r="I11" s="44" t="s">
        <v>16</v>
      </c>
      <c r="J11" s="45" t="b">
        <v>0</v>
      </c>
      <c r="K11" s="3"/>
      <c r="L11" s="1"/>
      <c r="M11" s="1"/>
      <c r="N11" s="3"/>
    </row>
    <row r="12">
      <c r="A12" s="3"/>
      <c r="B12" s="32">
        <f t="shared" si="6"/>
        <v>15</v>
      </c>
      <c r="C12" s="33">
        <f t="shared" si="1"/>
        <v>1034.482759</v>
      </c>
      <c r="D12" s="17">
        <f t="shared" si="2"/>
        <v>1034.4999</v>
      </c>
      <c r="E12" s="18">
        <f t="shared" si="3"/>
        <v>2.899951948</v>
      </c>
      <c r="F12" s="19">
        <f t="shared" si="4"/>
        <v>187.1239552</v>
      </c>
      <c r="G12" s="20">
        <f t="shared" si="5"/>
        <v>79528</v>
      </c>
      <c r="H12" s="3"/>
      <c r="I12" s="46" t="s">
        <v>17</v>
      </c>
      <c r="J12" s="47" t="b">
        <v>0</v>
      </c>
      <c r="K12" s="3"/>
      <c r="L12" s="1"/>
      <c r="M12" s="1"/>
      <c r="N12" s="3"/>
    </row>
    <row r="13">
      <c r="A13" s="3"/>
      <c r="B13" s="48">
        <f t="shared" si="6"/>
        <v>16</v>
      </c>
      <c r="C13" s="49">
        <f t="shared" si="1"/>
        <v>967.7419355</v>
      </c>
      <c r="D13" s="50">
        <f t="shared" si="2"/>
        <v>967.4999</v>
      </c>
      <c r="E13" s="51">
        <f t="shared" si="3"/>
        <v>3.100775514</v>
      </c>
      <c r="F13" s="52">
        <f t="shared" si="4"/>
        <v>207.0074767</v>
      </c>
      <c r="G13" s="53">
        <f t="shared" si="5"/>
        <v>87979</v>
      </c>
      <c r="H13" s="3"/>
      <c r="I13" s="1"/>
      <c r="J13" s="1"/>
      <c r="K13" s="3"/>
      <c r="L13" s="1"/>
      <c r="M13" s="1"/>
      <c r="N13" s="3"/>
    </row>
    <row r="14">
      <c r="A14" s="3"/>
      <c r="B14" s="3"/>
      <c r="C14" s="54"/>
      <c r="D14" s="3"/>
      <c r="E14" s="3"/>
      <c r="F14" s="54"/>
      <c r="G14" s="55"/>
      <c r="H14" s="3"/>
      <c r="I14" s="56" t="s">
        <v>18</v>
      </c>
      <c r="J14" s="57" t="b">
        <v>0</v>
      </c>
      <c r="K14" s="3"/>
      <c r="L14" s="1"/>
      <c r="M14" s="1"/>
      <c r="N14" s="3"/>
    </row>
    <row r="15">
      <c r="A15" s="3"/>
      <c r="B15" s="3"/>
      <c r="C15" s="54"/>
      <c r="D15" s="58" t="s">
        <v>19</v>
      </c>
      <c r="E15" s="5"/>
      <c r="F15" s="54"/>
      <c r="G15" s="55"/>
      <c r="H15" s="3"/>
      <c r="I15" s="1"/>
      <c r="J15" s="1"/>
      <c r="K15" s="3"/>
      <c r="L15" s="1"/>
      <c r="M15" s="1"/>
      <c r="N15" s="3"/>
    </row>
    <row r="16">
      <c r="A16" s="3"/>
      <c r="B16" s="15">
        <v>8.0</v>
      </c>
      <c r="C16" s="59">
        <f t="shared" ref="C16:C30" si="7">1000/(1000/(6000/(B16-0.5)))</f>
        <v>800</v>
      </c>
      <c r="D16" s="60">
        <f t="shared" ref="D16:D30" si="8">IF(AND(ISODD(B16), C16=INT(C16)),C16  - 0.5001, INT(C16) + 0.4999)</f>
        <v>800.4999</v>
      </c>
      <c r="E16" s="61">
        <f t="shared" ref="E16:E30" si="9">1000/D16</f>
        <v>1.249219394</v>
      </c>
      <c r="F16" s="19">
        <f t="shared" ref="F16:F30" si="10">((E16 / IF($J$7, 1.05, 1) / IF($J$8, 1.2, 1) / IF($J$9, 1.3, 1) / IF($J$12, 1.3, 1) / IF($J$14, 1.2, 1) / IF($J$16, 1.01, 1)-1)*100) - IF($J$5=TRUE,$I$5/425) - IF($J$10=TRUE,2880/425) - IF($J$11=TRUE,4000/425)</f>
        <v>23.68508852</v>
      </c>
      <c r="G16" s="29">
        <f t="shared" ref="G16:G30" si="11">ROUNDUP(F16*425,0)</f>
        <v>10067</v>
      </c>
      <c r="H16" s="3"/>
      <c r="I16" s="62" t="s">
        <v>20</v>
      </c>
      <c r="J16" s="63" t="b">
        <v>1</v>
      </c>
      <c r="K16" s="3"/>
      <c r="L16" s="1"/>
      <c r="M16" s="1"/>
      <c r="N16" s="3"/>
    </row>
    <row r="17">
      <c r="A17" s="3"/>
      <c r="B17" s="24">
        <f t="shared" ref="B17:B30" si="12">B16+1</f>
        <v>9</v>
      </c>
      <c r="C17" s="25">
        <f t="shared" si="7"/>
        <v>705.8823529</v>
      </c>
      <c r="D17" s="26">
        <f t="shared" si="8"/>
        <v>705.4999</v>
      </c>
      <c r="E17" s="64">
        <f t="shared" si="9"/>
        <v>1.417434645</v>
      </c>
      <c r="F17" s="28">
        <f t="shared" si="10"/>
        <v>40.34006382</v>
      </c>
      <c r="G17" s="29">
        <f t="shared" si="11"/>
        <v>17145</v>
      </c>
      <c r="H17" s="3"/>
      <c r="I17" s="3"/>
      <c r="J17" s="1"/>
      <c r="K17" s="3"/>
      <c r="L17" s="1"/>
      <c r="M17" s="1"/>
      <c r="N17" s="3"/>
    </row>
    <row r="18">
      <c r="A18" s="3"/>
      <c r="B18" s="32">
        <f t="shared" si="12"/>
        <v>10</v>
      </c>
      <c r="C18" s="33">
        <f t="shared" si="7"/>
        <v>631.5789474</v>
      </c>
      <c r="D18" s="17">
        <f t="shared" si="8"/>
        <v>631.4999</v>
      </c>
      <c r="E18" s="65">
        <f t="shared" si="9"/>
        <v>1.583531525</v>
      </c>
      <c r="F18" s="19">
        <f t="shared" si="10"/>
        <v>56.78529955</v>
      </c>
      <c r="G18" s="20">
        <f t="shared" si="11"/>
        <v>24134</v>
      </c>
      <c r="H18" s="3"/>
      <c r="I18" s="66" t="s">
        <v>21</v>
      </c>
      <c r="J18" s="67" t="b">
        <v>0</v>
      </c>
      <c r="K18" s="3"/>
      <c r="L18" s="1"/>
      <c r="M18" s="1"/>
      <c r="N18" s="3"/>
    </row>
    <row r="19">
      <c r="A19" s="3"/>
      <c r="B19" s="24">
        <f t="shared" si="12"/>
        <v>11</v>
      </c>
      <c r="C19" s="25">
        <f t="shared" si="7"/>
        <v>571.4285714</v>
      </c>
      <c r="D19" s="26">
        <f t="shared" si="8"/>
        <v>571.4999</v>
      </c>
      <c r="E19" s="64">
        <f t="shared" si="9"/>
        <v>1.749781584</v>
      </c>
      <c r="F19" s="28">
        <f t="shared" si="10"/>
        <v>73.24570134</v>
      </c>
      <c r="G19" s="29">
        <f t="shared" si="11"/>
        <v>31130</v>
      </c>
      <c r="H19" s="3"/>
      <c r="I19" s="3"/>
      <c r="J19" s="3"/>
      <c r="K19" s="3"/>
      <c r="L19" s="1"/>
      <c r="M19" s="1"/>
      <c r="N19" s="3"/>
    </row>
    <row r="20">
      <c r="A20" s="3"/>
      <c r="B20" s="32">
        <f t="shared" si="12"/>
        <v>12</v>
      </c>
      <c r="C20" s="33">
        <f t="shared" si="7"/>
        <v>521.7391304</v>
      </c>
      <c r="D20" s="17">
        <f t="shared" si="8"/>
        <v>521.4999</v>
      </c>
      <c r="E20" s="65">
        <f t="shared" si="9"/>
        <v>1.917545909</v>
      </c>
      <c r="F20" s="19">
        <f t="shared" si="10"/>
        <v>89.85603063</v>
      </c>
      <c r="G20" s="20">
        <f t="shared" si="11"/>
        <v>38189</v>
      </c>
      <c r="H20" s="3"/>
      <c r="I20" s="1"/>
      <c r="J20" s="1"/>
      <c r="K20" s="3"/>
      <c r="L20" s="1"/>
      <c r="M20" s="1"/>
      <c r="N20" s="3"/>
    </row>
    <row r="21">
      <c r="A21" s="3"/>
      <c r="B21" s="24">
        <f t="shared" si="12"/>
        <v>13</v>
      </c>
      <c r="C21" s="25">
        <f t="shared" si="7"/>
        <v>480</v>
      </c>
      <c r="D21" s="26">
        <f t="shared" si="8"/>
        <v>479.4999</v>
      </c>
      <c r="E21" s="64">
        <f t="shared" si="9"/>
        <v>2.08550617</v>
      </c>
      <c r="F21" s="28">
        <f t="shared" si="10"/>
        <v>106.4857594</v>
      </c>
      <c r="G21" s="29">
        <f t="shared" si="11"/>
        <v>45257</v>
      </c>
      <c r="H21" s="3"/>
      <c r="I21" s="1"/>
      <c r="J21" s="3"/>
      <c r="K21" s="3"/>
      <c r="L21" s="1"/>
      <c r="M21" s="1"/>
      <c r="N21" s="3"/>
    </row>
    <row r="22">
      <c r="A22" s="3"/>
      <c r="B22" s="32">
        <f t="shared" si="12"/>
        <v>14</v>
      </c>
      <c r="C22" s="33">
        <f t="shared" si="7"/>
        <v>444.4444444</v>
      </c>
      <c r="D22" s="17">
        <f t="shared" si="8"/>
        <v>444.4999</v>
      </c>
      <c r="E22" s="65">
        <f t="shared" si="9"/>
        <v>2.249719291</v>
      </c>
      <c r="F22" s="19">
        <f t="shared" si="10"/>
        <v>122.7444843</v>
      </c>
      <c r="G22" s="20">
        <f t="shared" si="11"/>
        <v>52167</v>
      </c>
      <c r="H22" s="3"/>
      <c r="I22" s="3"/>
      <c r="J22" s="3"/>
      <c r="K22" s="3"/>
      <c r="L22" s="1"/>
      <c r="M22" s="1"/>
      <c r="N22" s="3"/>
    </row>
    <row r="23">
      <c r="A23" s="3"/>
      <c r="B23" s="24">
        <f t="shared" si="12"/>
        <v>15</v>
      </c>
      <c r="C23" s="25">
        <f t="shared" si="7"/>
        <v>413.7931034</v>
      </c>
      <c r="D23" s="26">
        <f t="shared" si="8"/>
        <v>413.4999</v>
      </c>
      <c r="E23" s="64">
        <f t="shared" si="9"/>
        <v>2.41838027</v>
      </c>
      <c r="F23" s="28">
        <f t="shared" si="10"/>
        <v>139.4435911</v>
      </c>
      <c r="G23" s="29">
        <f t="shared" si="11"/>
        <v>59264</v>
      </c>
      <c r="H23" s="3"/>
      <c r="I23" s="3"/>
      <c r="J23" s="3"/>
      <c r="K23" s="3"/>
      <c r="L23" s="1"/>
      <c r="M23" s="1"/>
      <c r="N23" s="3"/>
    </row>
    <row r="24">
      <c r="A24" s="3"/>
      <c r="B24" s="32">
        <f t="shared" si="12"/>
        <v>16</v>
      </c>
      <c r="C24" s="33">
        <f t="shared" si="7"/>
        <v>387.0967742</v>
      </c>
      <c r="D24" s="17">
        <f t="shared" si="8"/>
        <v>387.4999</v>
      </c>
      <c r="E24" s="65">
        <f t="shared" si="9"/>
        <v>2.580645827</v>
      </c>
      <c r="F24" s="19">
        <f t="shared" si="10"/>
        <v>155.5094878</v>
      </c>
      <c r="G24" s="20">
        <f t="shared" si="11"/>
        <v>66092</v>
      </c>
      <c r="H24" s="3"/>
      <c r="I24" s="3"/>
      <c r="J24" s="3"/>
      <c r="K24" s="3"/>
      <c r="L24" s="1"/>
      <c r="M24" s="1"/>
      <c r="N24" s="3"/>
    </row>
    <row r="25">
      <c r="A25" s="3"/>
      <c r="B25" s="24">
        <f t="shared" si="12"/>
        <v>17</v>
      </c>
      <c r="C25" s="25">
        <f t="shared" si="7"/>
        <v>363.6363636</v>
      </c>
      <c r="D25" s="26">
        <f t="shared" si="8"/>
        <v>363.4999</v>
      </c>
      <c r="E25" s="64">
        <f t="shared" si="9"/>
        <v>2.751032394</v>
      </c>
      <c r="F25" s="28">
        <f t="shared" si="10"/>
        <v>172.3794449</v>
      </c>
      <c r="G25" s="29">
        <f t="shared" si="11"/>
        <v>73262</v>
      </c>
      <c r="H25" s="3"/>
      <c r="I25" s="3"/>
      <c r="J25" s="3"/>
      <c r="K25" s="3"/>
      <c r="L25" s="1"/>
      <c r="M25" s="1"/>
      <c r="N25" s="3"/>
    </row>
    <row r="26">
      <c r="A26" s="3"/>
      <c r="B26" s="32">
        <f t="shared" si="12"/>
        <v>18</v>
      </c>
      <c r="C26" s="33">
        <f t="shared" si="7"/>
        <v>342.8571429</v>
      </c>
      <c r="D26" s="17">
        <f t="shared" si="8"/>
        <v>342.4999</v>
      </c>
      <c r="E26" s="65">
        <f t="shared" si="9"/>
        <v>2.919708882</v>
      </c>
      <c r="F26" s="19">
        <f t="shared" si="10"/>
        <v>189.0800873</v>
      </c>
      <c r="G26" s="20">
        <f t="shared" si="11"/>
        <v>80360</v>
      </c>
      <c r="H26" s="3"/>
      <c r="I26" s="3"/>
      <c r="J26" s="3"/>
      <c r="K26" s="3"/>
      <c r="L26" s="1"/>
      <c r="M26" s="1"/>
      <c r="N26" s="3"/>
    </row>
    <row r="27">
      <c r="A27" s="3"/>
      <c r="B27" s="24">
        <f t="shared" si="12"/>
        <v>19</v>
      </c>
      <c r="C27" s="25">
        <f t="shared" si="7"/>
        <v>324.3243243</v>
      </c>
      <c r="D27" s="26">
        <f t="shared" si="8"/>
        <v>324.4999</v>
      </c>
      <c r="E27" s="64">
        <f t="shared" si="9"/>
        <v>3.081665048</v>
      </c>
      <c r="F27" s="28">
        <f t="shared" si="10"/>
        <v>205.1153513</v>
      </c>
      <c r="G27" s="29">
        <f t="shared" si="11"/>
        <v>87175</v>
      </c>
      <c r="H27" s="3"/>
      <c r="I27" s="68"/>
      <c r="J27" s="68"/>
      <c r="K27" s="3"/>
      <c r="L27" s="1"/>
      <c r="M27" s="1"/>
      <c r="N27" s="3"/>
    </row>
    <row r="28">
      <c r="A28" s="3"/>
      <c r="B28" s="32">
        <f t="shared" si="12"/>
        <v>20</v>
      </c>
      <c r="C28" s="33">
        <f t="shared" si="7"/>
        <v>307.6923077</v>
      </c>
      <c r="D28" s="17">
        <f t="shared" si="8"/>
        <v>307.4999</v>
      </c>
      <c r="E28" s="65">
        <f t="shared" si="9"/>
        <v>3.252033578</v>
      </c>
      <c r="F28" s="19">
        <f t="shared" si="10"/>
        <v>221.9835226</v>
      </c>
      <c r="G28" s="20">
        <f t="shared" si="11"/>
        <v>94343</v>
      </c>
      <c r="H28" s="3"/>
      <c r="I28" s="68"/>
      <c r="J28" s="68"/>
      <c r="K28" s="3"/>
      <c r="L28" s="1"/>
      <c r="M28" s="1"/>
      <c r="N28" s="3"/>
    </row>
    <row r="29">
      <c r="A29" s="3"/>
      <c r="B29" s="24">
        <f t="shared" si="12"/>
        <v>21</v>
      </c>
      <c r="C29" s="25">
        <f t="shared" si="7"/>
        <v>292.6829268</v>
      </c>
      <c r="D29" s="26">
        <f t="shared" si="8"/>
        <v>292.4999</v>
      </c>
      <c r="E29" s="64">
        <f t="shared" si="9"/>
        <v>3.418804588</v>
      </c>
      <c r="F29" s="28">
        <f t="shared" si="10"/>
        <v>238.4955037</v>
      </c>
      <c r="G29" s="29">
        <f t="shared" si="11"/>
        <v>101361</v>
      </c>
      <c r="H29" s="3"/>
      <c r="I29" s="3"/>
      <c r="J29" s="3"/>
      <c r="K29" s="3"/>
      <c r="L29" s="2"/>
      <c r="M29" s="1"/>
      <c r="N29" s="3"/>
    </row>
    <row r="30">
      <c r="A30" s="3"/>
      <c r="B30" s="69">
        <f t="shared" si="12"/>
        <v>22</v>
      </c>
      <c r="C30" s="70">
        <f t="shared" si="7"/>
        <v>279.0697674</v>
      </c>
      <c r="D30" s="71">
        <f t="shared" si="8"/>
        <v>279.4999</v>
      </c>
      <c r="E30" s="72">
        <f t="shared" si="9"/>
        <v>3.577818811</v>
      </c>
      <c r="F30" s="73">
        <f t="shared" si="10"/>
        <v>254.2394863</v>
      </c>
      <c r="G30" s="74">
        <f t="shared" si="11"/>
        <v>108052</v>
      </c>
      <c r="H30" s="3"/>
      <c r="I30" s="54"/>
      <c r="J30" s="54"/>
      <c r="K30" s="3"/>
      <c r="L30" s="2"/>
      <c r="M30" s="1"/>
      <c r="N30" s="3"/>
    </row>
    <row r="31">
      <c r="A31" s="3"/>
      <c r="B31" s="3"/>
      <c r="C31" s="54"/>
      <c r="D31" s="3"/>
      <c r="E31" s="3"/>
      <c r="F31" s="54"/>
      <c r="G31" s="3"/>
      <c r="H31" s="3"/>
      <c r="I31" s="3"/>
      <c r="J31" s="3"/>
      <c r="K31" s="3"/>
      <c r="L31" s="1"/>
      <c r="M31" s="1"/>
      <c r="N31" s="3"/>
    </row>
    <row r="32">
      <c r="A32" s="3"/>
      <c r="B32" s="3"/>
      <c r="C32" s="54"/>
      <c r="D32" s="75" t="s">
        <v>22</v>
      </c>
      <c r="E32" s="5"/>
      <c r="F32" s="54"/>
      <c r="G32" s="3"/>
      <c r="H32" s="3"/>
      <c r="I32" s="3"/>
      <c r="J32" s="76"/>
      <c r="K32" s="3"/>
      <c r="L32" s="77"/>
      <c r="M32" s="1"/>
      <c r="N32" s="3"/>
    </row>
    <row r="33">
      <c r="A33" s="3"/>
      <c r="B33" s="15">
        <v>7.0</v>
      </c>
      <c r="C33" s="16">
        <f t="shared" ref="C33:C44" si="13">IF($J$18=TRUE, 3000/(3000/(21000/(B33-0.5))), 3000/(3000/(18000/(B33-0.5))))</f>
        <v>2769.230769</v>
      </c>
      <c r="D33" s="60">
        <f t="shared" ref="D33:D44" si="14">IF(AND(ISODD(B33), C33=INT(C33)),C33  - 0.5001, INT(C33) + 0.4999)</f>
        <v>2769.4999</v>
      </c>
      <c r="E33" s="78">
        <f t="shared" ref="E33:E44" si="15">3000/D33</f>
        <v>1.083228059</v>
      </c>
      <c r="F33" s="19">
        <f t="shared" ref="F33:F44" si="16">((E33 / IF($J$7, 1.05, 1) / IF($J$8, 1.2, 1) / IF($J$9, 1.3, 1) / IF($J$12, 1.3, 1) / IF($J$14, 1.2, 1) / IF($J$16, 1.01, 1)-1)*100) - IF($J$5=TRUE,$I$5/425) - IF($J$10=TRUE,2880/425) - IF($J$11=TRUE,4000/425)</f>
        <v>7.250302833</v>
      </c>
      <c r="G33" s="79">
        <f t="shared" ref="G33:G44" si="17">ROUNDUP(F33*425,0)</f>
        <v>3082</v>
      </c>
      <c r="H33" s="3"/>
      <c r="I33" s="76"/>
      <c r="J33" s="76"/>
      <c r="K33" s="3"/>
      <c r="L33" s="77"/>
      <c r="M33" s="1"/>
      <c r="N33" s="3"/>
    </row>
    <row r="34">
      <c r="A34" s="3"/>
      <c r="B34" s="24">
        <f t="shared" ref="B34:B44" si="18">B33+1</f>
        <v>8</v>
      </c>
      <c r="C34" s="25">
        <f t="shared" si="13"/>
        <v>2400</v>
      </c>
      <c r="D34" s="26">
        <f t="shared" si="14"/>
        <v>2400.4999</v>
      </c>
      <c r="E34" s="27">
        <f t="shared" si="15"/>
        <v>1.24973969</v>
      </c>
      <c r="F34" s="28">
        <f t="shared" si="16"/>
        <v>23.73660293</v>
      </c>
      <c r="G34" s="29">
        <f t="shared" si="17"/>
        <v>10089</v>
      </c>
      <c r="H34" s="3"/>
      <c r="I34" s="76"/>
      <c r="J34" s="76"/>
      <c r="K34" s="3"/>
      <c r="L34" s="77"/>
      <c r="M34" s="1"/>
      <c r="N34" s="3"/>
    </row>
    <row r="35">
      <c r="A35" s="3"/>
      <c r="B35" s="32">
        <f t="shared" si="18"/>
        <v>9</v>
      </c>
      <c r="C35" s="33">
        <f t="shared" si="13"/>
        <v>2117.647059</v>
      </c>
      <c r="D35" s="17">
        <f t="shared" si="14"/>
        <v>2117.4999</v>
      </c>
      <c r="E35" s="18">
        <f t="shared" si="15"/>
        <v>1.41676512</v>
      </c>
      <c r="F35" s="19">
        <f t="shared" si="16"/>
        <v>40.27377426</v>
      </c>
      <c r="G35" s="20">
        <f t="shared" si="17"/>
        <v>17117</v>
      </c>
      <c r="H35" s="3"/>
      <c r="I35" s="76"/>
      <c r="J35" s="76"/>
      <c r="K35" s="3"/>
      <c r="L35" s="77"/>
      <c r="M35" s="1"/>
      <c r="N35" s="3"/>
    </row>
    <row r="36">
      <c r="A36" s="3"/>
      <c r="B36" s="24">
        <f t="shared" si="18"/>
        <v>10</v>
      </c>
      <c r="C36" s="25">
        <f t="shared" si="13"/>
        <v>1894.736842</v>
      </c>
      <c r="D36" s="26">
        <f t="shared" si="14"/>
        <v>1894.4999</v>
      </c>
      <c r="E36" s="27">
        <f t="shared" si="15"/>
        <v>1.583531358</v>
      </c>
      <c r="F36" s="28">
        <f t="shared" si="16"/>
        <v>56.785283</v>
      </c>
      <c r="G36" s="29">
        <f t="shared" si="17"/>
        <v>24134</v>
      </c>
      <c r="H36" s="3"/>
      <c r="I36" s="76"/>
      <c r="J36" s="76"/>
      <c r="K36" s="3"/>
      <c r="L36" s="77"/>
      <c r="M36" s="1"/>
      <c r="N36" s="3"/>
    </row>
    <row r="37">
      <c r="A37" s="3"/>
      <c r="B37" s="32">
        <f t="shared" si="18"/>
        <v>11</v>
      </c>
      <c r="C37" s="33">
        <f t="shared" si="13"/>
        <v>1714.285714</v>
      </c>
      <c r="D37" s="17">
        <f t="shared" si="14"/>
        <v>1714.4999</v>
      </c>
      <c r="E37" s="18">
        <f t="shared" si="15"/>
        <v>1.749781379</v>
      </c>
      <c r="F37" s="19">
        <f t="shared" si="16"/>
        <v>73.24568113</v>
      </c>
      <c r="G37" s="20">
        <f t="shared" si="17"/>
        <v>31130</v>
      </c>
      <c r="H37" s="3"/>
      <c r="I37" s="76"/>
      <c r="J37" s="76"/>
      <c r="K37" s="3"/>
      <c r="L37" s="77"/>
      <c r="M37" s="1"/>
      <c r="N37" s="3"/>
    </row>
    <row r="38">
      <c r="A38" s="3"/>
      <c r="B38" s="24">
        <f t="shared" si="18"/>
        <v>12</v>
      </c>
      <c r="C38" s="25">
        <f t="shared" si="13"/>
        <v>1565.217391</v>
      </c>
      <c r="D38" s="26">
        <f t="shared" si="14"/>
        <v>1565.4999</v>
      </c>
      <c r="E38" s="27">
        <f t="shared" si="15"/>
        <v>1.916320787</v>
      </c>
      <c r="F38" s="28">
        <f t="shared" si="16"/>
        <v>89.73473136</v>
      </c>
      <c r="G38" s="29">
        <f t="shared" si="17"/>
        <v>38138</v>
      </c>
      <c r="H38" s="3"/>
      <c r="I38" s="76"/>
      <c r="J38" s="76"/>
      <c r="K38" s="3"/>
      <c r="L38" s="77"/>
      <c r="M38" s="1"/>
      <c r="N38" s="3"/>
    </row>
    <row r="39">
      <c r="A39" s="3"/>
      <c r="B39" s="32">
        <f t="shared" si="18"/>
        <v>13</v>
      </c>
      <c r="C39" s="33">
        <f t="shared" si="13"/>
        <v>1440</v>
      </c>
      <c r="D39" s="17">
        <f t="shared" si="14"/>
        <v>1439.4999</v>
      </c>
      <c r="E39" s="18">
        <f t="shared" si="15"/>
        <v>2.084057109</v>
      </c>
      <c r="F39" s="19">
        <f t="shared" si="16"/>
        <v>106.342288</v>
      </c>
      <c r="G39" s="20">
        <f t="shared" si="17"/>
        <v>45196</v>
      </c>
      <c r="H39" s="3"/>
      <c r="I39" s="76"/>
      <c r="J39" s="76"/>
      <c r="K39" s="3"/>
      <c r="L39" s="77"/>
      <c r="M39" s="1"/>
      <c r="N39" s="3"/>
    </row>
    <row r="40">
      <c r="A40" s="3"/>
      <c r="B40" s="24">
        <f t="shared" si="18"/>
        <v>14</v>
      </c>
      <c r="C40" s="25">
        <f t="shared" si="13"/>
        <v>1333.333333</v>
      </c>
      <c r="D40" s="26">
        <f t="shared" si="14"/>
        <v>1333.4999</v>
      </c>
      <c r="E40" s="27">
        <f t="shared" si="15"/>
        <v>2.249718954</v>
      </c>
      <c r="F40" s="28">
        <f t="shared" si="16"/>
        <v>122.7444509</v>
      </c>
      <c r="G40" s="29">
        <f t="shared" si="17"/>
        <v>52167</v>
      </c>
      <c r="H40" s="3"/>
      <c r="I40" s="76"/>
      <c r="J40" s="76"/>
      <c r="K40" s="3"/>
      <c r="L40" s="77"/>
      <c r="M40" s="1"/>
      <c r="N40" s="3"/>
    </row>
    <row r="41">
      <c r="A41" s="3"/>
      <c r="B41" s="32">
        <f t="shared" si="18"/>
        <v>15</v>
      </c>
      <c r="C41" s="33">
        <f t="shared" si="13"/>
        <v>1241.37931</v>
      </c>
      <c r="D41" s="17">
        <f t="shared" si="14"/>
        <v>1241.4999</v>
      </c>
      <c r="E41" s="18">
        <f t="shared" si="15"/>
        <v>2.41643193</v>
      </c>
      <c r="F41" s="19">
        <f t="shared" si="16"/>
        <v>139.2506862</v>
      </c>
      <c r="G41" s="20">
        <f t="shared" si="17"/>
        <v>59182</v>
      </c>
      <c r="H41" s="3"/>
      <c r="I41" s="76"/>
      <c r="J41" s="76"/>
      <c r="K41" s="3"/>
      <c r="L41" s="77"/>
      <c r="M41" s="1"/>
      <c r="N41" s="3"/>
    </row>
    <row r="42">
      <c r="A42" s="3"/>
      <c r="B42" s="24">
        <f t="shared" si="18"/>
        <v>16</v>
      </c>
      <c r="C42" s="25">
        <f t="shared" si="13"/>
        <v>1161.290323</v>
      </c>
      <c r="D42" s="26">
        <f t="shared" si="14"/>
        <v>1161.4999</v>
      </c>
      <c r="E42" s="27">
        <f t="shared" si="15"/>
        <v>2.582867205</v>
      </c>
      <c r="F42" s="28">
        <f t="shared" si="16"/>
        <v>155.7294262</v>
      </c>
      <c r="G42" s="29">
        <f t="shared" si="17"/>
        <v>66186</v>
      </c>
      <c r="H42" s="3"/>
      <c r="I42" s="76"/>
      <c r="J42" s="76"/>
      <c r="K42" s="3"/>
      <c r="L42" s="77"/>
      <c r="M42" s="1"/>
      <c r="N42" s="3"/>
    </row>
    <row r="43">
      <c r="A43" s="3"/>
      <c r="B43" s="32">
        <f t="shared" si="18"/>
        <v>17</v>
      </c>
      <c r="C43" s="33">
        <f t="shared" si="13"/>
        <v>1090.909091</v>
      </c>
      <c r="D43" s="17">
        <f t="shared" si="14"/>
        <v>1090.4999</v>
      </c>
      <c r="E43" s="18">
        <f t="shared" si="15"/>
        <v>2.751031889</v>
      </c>
      <c r="F43" s="19">
        <f t="shared" si="16"/>
        <v>172.379395</v>
      </c>
      <c r="G43" s="20">
        <f t="shared" si="17"/>
        <v>73262</v>
      </c>
      <c r="H43" s="3"/>
      <c r="I43" s="76"/>
      <c r="J43" s="76"/>
      <c r="K43" s="3"/>
      <c r="L43" s="77"/>
      <c r="M43" s="1"/>
      <c r="N43" s="3"/>
    </row>
    <row r="44">
      <c r="A44" s="3"/>
      <c r="B44" s="48">
        <f t="shared" si="18"/>
        <v>18</v>
      </c>
      <c r="C44" s="49">
        <f t="shared" si="13"/>
        <v>1028.571429</v>
      </c>
      <c r="D44" s="50">
        <f t="shared" si="14"/>
        <v>1028.4999</v>
      </c>
      <c r="E44" s="51">
        <f t="shared" si="15"/>
        <v>2.916869511</v>
      </c>
      <c r="F44" s="52">
        <f t="shared" si="16"/>
        <v>188.7989614</v>
      </c>
      <c r="G44" s="53">
        <f t="shared" si="17"/>
        <v>80240</v>
      </c>
      <c r="H44" s="3"/>
      <c r="I44" s="76"/>
      <c r="J44" s="76"/>
      <c r="K44" s="3"/>
      <c r="L44" s="77"/>
      <c r="M44" s="1"/>
      <c r="N44" s="3"/>
    </row>
    <row r="45">
      <c r="A45" s="3"/>
      <c r="B45" s="3"/>
      <c r="C45" s="3"/>
      <c r="D45" s="3"/>
      <c r="E45" s="3"/>
      <c r="F45" s="54"/>
      <c r="G45" s="3"/>
      <c r="H45" s="3"/>
      <c r="I45" s="76"/>
      <c r="J45" s="76"/>
      <c r="K45" s="3"/>
      <c r="L45" s="77"/>
      <c r="M45" s="1"/>
      <c r="N45" s="3"/>
    </row>
  </sheetData>
  <mergeCells count="9">
    <mergeCell ref="D15:E15"/>
    <mergeCell ref="D32:E32"/>
    <mergeCell ref="D2:E2"/>
    <mergeCell ref="I3:J3"/>
    <mergeCell ref="L3:M3"/>
    <mergeCell ref="I4:J4"/>
    <mergeCell ref="L4:M4"/>
    <mergeCell ref="L6:M6"/>
    <mergeCell ref="L7:M7"/>
  </mergeCells>
  <conditionalFormatting sqref="G4:G45">
    <cfRule type="cellIs" dxfId="0" priority="1" operator="lessThanOrEqual">
      <formula>0</formula>
    </cfRule>
  </conditionalFormatting>
  <conditionalFormatting sqref="F4:F45 I16:J16">
    <cfRule type="cellIs" dxfId="1" priority="2" operator="lessThanOrEqual">
      <formula>0</formula>
    </cfRule>
  </conditionalFormatting>
  <conditionalFormatting sqref="G4:G45">
    <cfRule type="cellIs" dxfId="2" priority="3" operator="lessThanOrEqual">
      <formula>0</formula>
    </cfRule>
  </conditionalFormatting>
  <conditionalFormatting sqref="A1:N45">
    <cfRule type="containsBlanks" dxfId="3" priority="4">
      <formula>LEN(TRIM(A1))=0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.5"/>
    <col customWidth="1" min="4" max="4" width="14.75"/>
    <col customWidth="1" min="5" max="5" width="10.13"/>
    <col customWidth="1" min="6" max="6" width="9.63"/>
    <col customWidth="1" min="7" max="7" width="3.75"/>
    <col customWidth="1" min="8" max="8" width="7.38"/>
    <col customWidth="1" min="9" max="9" width="10.0"/>
    <col customWidth="1" min="10" max="10" width="9.0"/>
    <col customWidth="1" min="11" max="11" width="8.75"/>
    <col customWidth="1" min="12" max="12" width="8.13"/>
    <col customWidth="1" min="13" max="13" width="8.75"/>
    <col customWidth="1" min="14" max="14" width="3.25"/>
    <col customWidth="1" min="15" max="15" width="12.88"/>
    <col customWidth="1" min="16" max="16" width="2.88"/>
    <col customWidth="1" min="17" max="17" width="19.75"/>
  </cols>
  <sheetData>
    <row r="1">
      <c r="A1" s="80" t="s">
        <v>23</v>
      </c>
      <c r="G1" s="81"/>
      <c r="H1" s="82"/>
      <c r="I1" s="82"/>
      <c r="J1" s="83"/>
      <c r="K1" s="83"/>
      <c r="L1" s="82"/>
      <c r="M1" s="82"/>
      <c r="N1" s="82"/>
      <c r="O1" s="82"/>
      <c r="P1" s="82"/>
      <c r="Q1" s="82"/>
      <c r="R1" s="83"/>
      <c r="S1" s="83"/>
      <c r="T1" s="83"/>
    </row>
    <row r="2">
      <c r="A2" s="84" t="s">
        <v>24</v>
      </c>
      <c r="B2" s="83"/>
      <c r="C2" s="85" t="s">
        <v>25</v>
      </c>
      <c r="D2" s="86"/>
      <c r="E2" s="5"/>
      <c r="F2" s="82"/>
      <c r="G2" s="83"/>
      <c r="H2" s="87"/>
      <c r="I2" s="88" t="s">
        <v>26</v>
      </c>
      <c r="J2" s="86"/>
      <c r="K2" s="86"/>
      <c r="L2" s="89" t="b">
        <v>0</v>
      </c>
      <c r="M2" s="87"/>
      <c r="N2" s="87"/>
      <c r="O2" s="90"/>
      <c r="P2" s="90"/>
      <c r="Q2" s="83"/>
      <c r="R2" s="83"/>
      <c r="S2" s="83"/>
      <c r="T2" s="83"/>
    </row>
    <row r="3">
      <c r="A3" s="91" t="s">
        <v>27</v>
      </c>
      <c r="B3" s="82"/>
      <c r="C3" s="82"/>
      <c r="D3" s="82"/>
      <c r="E3" s="82"/>
      <c r="F3" s="82"/>
      <c r="G3" s="83"/>
      <c r="H3" s="92" t="s">
        <v>2</v>
      </c>
      <c r="I3" s="93" t="s">
        <v>3</v>
      </c>
      <c r="J3" s="94" t="s">
        <v>4</v>
      </c>
      <c r="K3" s="95" t="s">
        <v>5</v>
      </c>
      <c r="L3" s="96" t="s">
        <v>6</v>
      </c>
      <c r="M3" s="97" t="s">
        <v>7</v>
      </c>
      <c r="N3" s="87"/>
      <c r="O3" s="98" t="s">
        <v>28</v>
      </c>
      <c r="P3" s="5"/>
      <c r="Q3" s="83"/>
      <c r="R3" s="83"/>
      <c r="S3" s="83"/>
      <c r="T3" s="83"/>
    </row>
    <row r="4">
      <c r="A4" s="82"/>
      <c r="B4" s="82"/>
      <c r="C4" s="82"/>
      <c r="D4" s="82"/>
      <c r="E4" s="82"/>
      <c r="F4" s="82"/>
      <c r="G4" s="83"/>
      <c r="H4" s="99">
        <f>IF(L2=TRUE, 8, 6)</f>
        <v>6</v>
      </c>
      <c r="I4" s="100">
        <f t="shared" ref="I4:I10" si="1">IF($L$2=TRUE, 3000/(3000/(21000/(H4-0.5))), 3000/(3000/(15000/(H4-0.5))))</f>
        <v>2727.272727</v>
      </c>
      <c r="J4" s="101">
        <f t="shared" ref="J4:J10" si="2">IF(AND(ISODD(H4), I4=INT(I4)),I4  - 0.5001, INT(I4) + 0.4999)</f>
        <v>2727.4999</v>
      </c>
      <c r="K4" s="102">
        <f t="shared" ref="K4:K10" si="3">3000/J4</f>
        <v>1.099908381</v>
      </c>
      <c r="L4" s="103">
        <f>((K4 / IF($P$17, 1.01, 1) / IF($P$10, 1.05, 1) / IF($S$19, 1.1, 1) / IF($P$11, 1.2, 1) / IF($P$12, 1.3, 1) / IF($P$14, 1.03, 1) / IF($P$15, 1.2, 1) / IF($P$19, 1.01, 1)-1)*100) - IF($P$8=TRUE,$O$8/425)</f>
        <v>9.99083813</v>
      </c>
      <c r="M4" s="104">
        <f t="shared" ref="M4:M10" si="4">ROUNDUP(L4*425,0)</f>
        <v>4247</v>
      </c>
      <c r="N4" s="87"/>
      <c r="O4" s="105">
        <f>((1.5 / IF($P$17, 1.03, 1) / IF($P$10, 1.05, 1) / IF($S$19, 1.1, 1) / IF($P$11, 1.2, 1) / IF($P$12, 1.3, 1) / IF($P$14, 1.03, 1) / IF($P$15, 1.2, 1) / IF($P$19, 1.01, 1))) / IF($P$8=TRUE,(1+(O8/425)/100),1)</f>
        <v>1.5</v>
      </c>
      <c r="P4" s="5"/>
      <c r="Q4" s="83"/>
      <c r="R4" s="83"/>
      <c r="S4" s="83"/>
      <c r="T4" s="83"/>
    </row>
    <row r="5">
      <c r="A5" s="106" t="s">
        <v>29</v>
      </c>
      <c r="B5" s="13"/>
      <c r="C5" s="82"/>
      <c r="D5" s="107"/>
      <c r="E5" s="108"/>
      <c r="F5" s="109"/>
      <c r="G5" s="83"/>
      <c r="H5" s="110">
        <f t="shared" ref="H5:H10" si="5">H4+1</f>
        <v>7</v>
      </c>
      <c r="I5" s="111">
        <f t="shared" si="1"/>
        <v>2307.692308</v>
      </c>
      <c r="J5" s="112">
        <f t="shared" si="2"/>
        <v>2307.4999</v>
      </c>
      <c r="K5" s="113">
        <f t="shared" si="3"/>
        <v>1.300108399</v>
      </c>
      <c r="L5" s="114">
        <f t="shared" ref="L5:L10" si="6">((K5 / IF($P$17, 1.15, 1) / IF($P$10, 1.05, 1) / IF($S$19, 1.1, 1) / IF($P$11, 1.2, 1) / IF($P$12, 1.3, 1) / IF($P$14, 1.03, 1) / IF($P$15, 1.2, 1) / IF($P$19, 1.01, 1)-1)*100) - IF($P$8=TRUE,$O$8/425)</f>
        <v>30.01083987</v>
      </c>
      <c r="M5" s="115">
        <f t="shared" si="4"/>
        <v>12755</v>
      </c>
      <c r="N5" s="87"/>
      <c r="O5" s="87"/>
      <c r="P5" s="87"/>
      <c r="Q5" s="83"/>
      <c r="R5" s="83"/>
      <c r="S5" s="83"/>
      <c r="T5" s="83"/>
    </row>
    <row r="6">
      <c r="A6" s="116"/>
      <c r="B6" s="117"/>
      <c r="C6" s="82"/>
      <c r="D6" s="118"/>
      <c r="E6" s="82"/>
      <c r="F6" s="119"/>
      <c r="G6" s="83"/>
      <c r="H6" s="120">
        <f t="shared" si="5"/>
        <v>8</v>
      </c>
      <c r="I6" s="121">
        <f t="shared" si="1"/>
        <v>2000</v>
      </c>
      <c r="J6" s="122">
        <f t="shared" si="2"/>
        <v>2000.4999</v>
      </c>
      <c r="K6" s="123">
        <f t="shared" si="3"/>
        <v>1.499625169</v>
      </c>
      <c r="L6" s="124">
        <f t="shared" si="6"/>
        <v>49.96251687</v>
      </c>
      <c r="M6" s="125">
        <f t="shared" si="4"/>
        <v>21235</v>
      </c>
      <c r="N6" s="87"/>
      <c r="O6" s="126" t="s">
        <v>8</v>
      </c>
      <c r="P6" s="13"/>
      <c r="Q6" s="83"/>
      <c r="R6" s="83"/>
      <c r="S6" s="83"/>
      <c r="T6" s="83"/>
    </row>
    <row r="7">
      <c r="A7" s="116"/>
      <c r="B7" s="117"/>
      <c r="C7" s="82"/>
      <c r="D7" s="118"/>
      <c r="E7" s="82"/>
      <c r="F7" s="119"/>
      <c r="G7" s="83"/>
      <c r="H7" s="110">
        <f t="shared" si="5"/>
        <v>9</v>
      </c>
      <c r="I7" s="111">
        <f t="shared" si="1"/>
        <v>1764.705882</v>
      </c>
      <c r="J7" s="112">
        <f t="shared" si="2"/>
        <v>1764.4999</v>
      </c>
      <c r="K7" s="113">
        <f t="shared" si="3"/>
        <v>1.700198453</v>
      </c>
      <c r="L7" s="114">
        <f t="shared" si="6"/>
        <v>70.01984528</v>
      </c>
      <c r="M7" s="115">
        <f t="shared" si="4"/>
        <v>29759</v>
      </c>
      <c r="N7" s="87"/>
      <c r="O7" s="127" t="s">
        <v>10</v>
      </c>
      <c r="P7" s="22"/>
      <c r="Q7" s="83"/>
      <c r="R7" s="83"/>
      <c r="S7" s="83"/>
      <c r="T7" s="83"/>
    </row>
    <row r="8">
      <c r="A8" s="116"/>
      <c r="B8" s="117"/>
      <c r="C8" s="82"/>
      <c r="D8" s="118"/>
      <c r="E8" s="82"/>
      <c r="F8" s="119"/>
      <c r="G8" s="83"/>
      <c r="H8" s="120">
        <f t="shared" si="5"/>
        <v>10</v>
      </c>
      <c r="I8" s="121">
        <f t="shared" si="1"/>
        <v>1578.947368</v>
      </c>
      <c r="J8" s="122">
        <f t="shared" si="2"/>
        <v>1578.4999</v>
      </c>
      <c r="K8" s="123">
        <f t="shared" si="3"/>
        <v>1.900538606</v>
      </c>
      <c r="L8" s="124">
        <f t="shared" si="6"/>
        <v>90.05386063</v>
      </c>
      <c r="M8" s="125">
        <f t="shared" si="4"/>
        <v>38273</v>
      </c>
      <c r="N8" s="87"/>
      <c r="O8" s="128">
        <v>3000.0</v>
      </c>
      <c r="P8" s="129" t="b">
        <v>0</v>
      </c>
      <c r="Q8" s="82"/>
      <c r="R8" s="83"/>
      <c r="S8" s="83"/>
      <c r="T8" s="83"/>
    </row>
    <row r="9">
      <c r="A9" s="116"/>
      <c r="B9" s="117"/>
      <c r="C9" s="82"/>
      <c r="D9" s="118"/>
      <c r="E9" s="82"/>
      <c r="F9" s="119"/>
      <c r="G9" s="83"/>
      <c r="H9" s="110">
        <f t="shared" si="5"/>
        <v>11</v>
      </c>
      <c r="I9" s="111">
        <f t="shared" si="1"/>
        <v>1428.571429</v>
      </c>
      <c r="J9" s="112">
        <f t="shared" si="2"/>
        <v>1428.4999</v>
      </c>
      <c r="K9" s="113">
        <f t="shared" si="3"/>
        <v>2.100105152</v>
      </c>
      <c r="L9" s="114">
        <f t="shared" si="6"/>
        <v>110.0105152</v>
      </c>
      <c r="M9" s="115">
        <f t="shared" si="4"/>
        <v>46755</v>
      </c>
      <c r="N9" s="87"/>
      <c r="O9" s="87"/>
      <c r="P9" s="87"/>
      <c r="Q9" s="82"/>
      <c r="R9" s="83"/>
      <c r="S9" s="83"/>
      <c r="T9" s="83"/>
    </row>
    <row r="10">
      <c r="A10" s="130"/>
      <c r="B10" s="22"/>
      <c r="C10" s="82"/>
      <c r="D10" s="131"/>
      <c r="E10" s="132"/>
      <c r="F10" s="133"/>
      <c r="G10" s="83"/>
      <c r="H10" s="134">
        <f t="shared" si="5"/>
        <v>12</v>
      </c>
      <c r="I10" s="135">
        <f t="shared" si="1"/>
        <v>1304.347826</v>
      </c>
      <c r="J10" s="136">
        <f t="shared" si="2"/>
        <v>1304.4999</v>
      </c>
      <c r="K10" s="137">
        <f t="shared" si="3"/>
        <v>2.299731874</v>
      </c>
      <c r="L10" s="138">
        <f t="shared" si="6"/>
        <v>129.9731874</v>
      </c>
      <c r="M10" s="139">
        <f t="shared" si="4"/>
        <v>55239</v>
      </c>
      <c r="N10" s="87"/>
      <c r="O10" s="140" t="s">
        <v>12</v>
      </c>
      <c r="P10" s="141" t="b">
        <v>0</v>
      </c>
      <c r="Q10" s="82"/>
      <c r="R10" s="83"/>
      <c r="S10" s="83"/>
      <c r="T10" s="83"/>
    </row>
    <row r="11">
      <c r="A11" s="82"/>
      <c r="B11" s="82"/>
      <c r="C11" s="82"/>
      <c r="D11" s="82"/>
      <c r="E11" s="82"/>
      <c r="F11" s="82"/>
      <c r="G11" s="83"/>
      <c r="H11" s="90"/>
      <c r="I11" s="90"/>
      <c r="J11" s="90"/>
      <c r="K11" s="90"/>
      <c r="L11" s="90"/>
      <c r="M11" s="90"/>
      <c r="N11" s="87"/>
      <c r="O11" s="142" t="s">
        <v>13</v>
      </c>
      <c r="P11" s="143" t="b">
        <v>0</v>
      </c>
      <c r="Q11" s="83"/>
      <c r="R11" s="83"/>
      <c r="S11" s="83"/>
      <c r="T11" s="83"/>
    </row>
    <row r="12">
      <c r="A12" s="144" t="s">
        <v>30</v>
      </c>
      <c r="B12" s="13"/>
      <c r="C12" s="82"/>
      <c r="D12" s="82"/>
      <c r="E12" s="82"/>
      <c r="F12" s="82"/>
      <c r="G12" s="83"/>
      <c r="H12" s="145"/>
      <c r="I12" s="146" t="s">
        <v>31</v>
      </c>
      <c r="J12" s="86"/>
      <c r="K12" s="86"/>
      <c r="L12" s="5"/>
      <c r="M12" s="147"/>
      <c r="N12" s="87"/>
      <c r="O12" s="148" t="s">
        <v>14</v>
      </c>
      <c r="P12" s="149" t="b">
        <v>0</v>
      </c>
      <c r="Q12" s="82"/>
      <c r="R12" s="83"/>
      <c r="S12" s="83"/>
      <c r="T12" s="83"/>
    </row>
    <row r="13">
      <c r="A13" s="116"/>
      <c r="B13" s="117"/>
      <c r="C13" s="150"/>
      <c r="D13" s="82"/>
      <c r="E13" s="82"/>
      <c r="F13" s="82"/>
      <c r="G13" s="83"/>
      <c r="H13" s="99">
        <v>5.0</v>
      </c>
      <c r="I13" s="100">
        <f t="shared" ref="I13:I18" si="7">3000/(3000/(12000/(H13-0.5)))</f>
        <v>2666.666667</v>
      </c>
      <c r="J13" s="101">
        <f t="shared" ref="J13:J18" si="8">IF(AND(ISODD(H13), I13=INT(I13)),I13  - 0.5001, INT(I13) + 0.4999)</f>
        <v>2666.4999</v>
      </c>
      <c r="K13" s="102">
        <f t="shared" ref="K13:K18" si="9">3000/J13</f>
        <v>1.125070359</v>
      </c>
      <c r="L13" s="103">
        <f t="shared" ref="L13:L18" si="10">((K13 / IF($P$17, 1.01, 1) / IF($P$10, 1.05, 1) / IF($S$19, 1.1, 1) / IF($P$11, 1.2, 1) / IF($P$12, 1.3, 1) / IF($P$14, 1.03, 1) / IF($P$15, 1.2, 1) / IF($P$19, 1.01, 1)-1)*100) - IF($P$8=TRUE,$O$8/425)</f>
        <v>12.50703591</v>
      </c>
      <c r="M13" s="104">
        <f t="shared" ref="M13:M18" si="11">ROUNDUP(L13*425,0)</f>
        <v>5316</v>
      </c>
      <c r="N13" s="87"/>
      <c r="O13" s="87"/>
      <c r="P13" s="87"/>
      <c r="Q13" s="82"/>
      <c r="R13" s="83"/>
      <c r="S13" s="83"/>
      <c r="T13" s="83"/>
    </row>
    <row r="14">
      <c r="A14" s="116"/>
      <c r="B14" s="117"/>
      <c r="C14" s="150"/>
      <c r="D14" s="82"/>
      <c r="E14" s="82"/>
      <c r="F14" s="82"/>
      <c r="G14" s="83"/>
      <c r="H14" s="110">
        <f t="shared" ref="H14:H18" si="12">H13+1</f>
        <v>6</v>
      </c>
      <c r="I14" s="111">
        <f t="shared" si="7"/>
        <v>2181.818182</v>
      </c>
      <c r="J14" s="112">
        <f t="shared" si="8"/>
        <v>2181.4999</v>
      </c>
      <c r="K14" s="113">
        <f t="shared" si="9"/>
        <v>1.375200613</v>
      </c>
      <c r="L14" s="114">
        <f t="shared" si="10"/>
        <v>37.52006131</v>
      </c>
      <c r="M14" s="115">
        <f t="shared" si="11"/>
        <v>15947</v>
      </c>
      <c r="N14" s="87"/>
      <c r="O14" s="151" t="s">
        <v>32</v>
      </c>
      <c r="P14" s="152" t="b">
        <v>0</v>
      </c>
      <c r="Q14" s="82"/>
      <c r="R14" s="83"/>
      <c r="S14" s="83"/>
      <c r="T14" s="83"/>
    </row>
    <row r="15">
      <c r="A15" s="116"/>
      <c r="B15" s="117"/>
      <c r="C15" s="150"/>
      <c r="D15" s="82"/>
      <c r="E15" s="82"/>
      <c r="F15" s="82"/>
      <c r="G15" s="83"/>
      <c r="H15" s="120">
        <f t="shared" si="12"/>
        <v>7</v>
      </c>
      <c r="I15" s="121">
        <f t="shared" si="7"/>
        <v>1846.153846</v>
      </c>
      <c r="J15" s="122">
        <f t="shared" si="8"/>
        <v>1846.4999</v>
      </c>
      <c r="K15" s="123">
        <f t="shared" si="9"/>
        <v>1.624695458</v>
      </c>
      <c r="L15" s="124">
        <f t="shared" si="10"/>
        <v>62.46954576</v>
      </c>
      <c r="M15" s="125">
        <f t="shared" si="11"/>
        <v>26550</v>
      </c>
      <c r="N15" s="87"/>
      <c r="O15" s="153" t="s">
        <v>18</v>
      </c>
      <c r="P15" s="154" t="b">
        <v>0</v>
      </c>
      <c r="Q15" s="82"/>
      <c r="R15" s="83"/>
      <c r="S15" s="83"/>
      <c r="T15" s="83"/>
    </row>
    <row r="16">
      <c r="A16" s="116"/>
      <c r="B16" s="117"/>
      <c r="C16" s="150"/>
      <c r="D16" s="82"/>
      <c r="E16" s="82"/>
      <c r="F16" s="82"/>
      <c r="G16" s="83"/>
      <c r="H16" s="110">
        <f t="shared" si="12"/>
        <v>8</v>
      </c>
      <c r="I16" s="111">
        <f t="shared" si="7"/>
        <v>1600</v>
      </c>
      <c r="J16" s="112">
        <f t="shared" si="8"/>
        <v>1600.4999</v>
      </c>
      <c r="K16" s="113">
        <f t="shared" si="9"/>
        <v>1.874414363</v>
      </c>
      <c r="L16" s="114">
        <f t="shared" si="10"/>
        <v>87.44143627</v>
      </c>
      <c r="M16" s="115">
        <f t="shared" si="11"/>
        <v>37163</v>
      </c>
      <c r="N16" s="87"/>
      <c r="O16" s="90"/>
      <c r="P16" s="90"/>
      <c r="Q16" s="82"/>
      <c r="R16" s="82"/>
      <c r="S16" s="82"/>
      <c r="T16" s="82"/>
    </row>
    <row r="17">
      <c r="A17" s="116"/>
      <c r="B17" s="117"/>
      <c r="C17" s="82"/>
      <c r="D17" s="82"/>
      <c r="E17" s="82"/>
      <c r="F17" s="82"/>
      <c r="G17" s="83"/>
      <c r="H17" s="120">
        <f t="shared" si="12"/>
        <v>9</v>
      </c>
      <c r="I17" s="121">
        <f t="shared" si="7"/>
        <v>1411.764706</v>
      </c>
      <c r="J17" s="122">
        <f t="shared" si="8"/>
        <v>1411.4999</v>
      </c>
      <c r="K17" s="123">
        <f t="shared" si="9"/>
        <v>2.125398663</v>
      </c>
      <c r="L17" s="124">
        <f t="shared" si="10"/>
        <v>112.5398663</v>
      </c>
      <c r="M17" s="125">
        <f t="shared" si="11"/>
        <v>47830</v>
      </c>
      <c r="N17" s="87"/>
      <c r="O17" s="155" t="s">
        <v>20</v>
      </c>
      <c r="P17" s="156" t="b">
        <v>0</v>
      </c>
      <c r="Q17" s="82"/>
      <c r="R17" s="82"/>
      <c r="S17" s="82"/>
      <c r="T17" s="82"/>
    </row>
    <row r="18">
      <c r="A18" s="130"/>
      <c r="B18" s="22"/>
      <c r="C18" s="82"/>
      <c r="D18" s="82"/>
      <c r="E18" s="82"/>
      <c r="F18" s="82"/>
      <c r="G18" s="83"/>
      <c r="H18" s="157">
        <f t="shared" si="12"/>
        <v>10</v>
      </c>
      <c r="I18" s="158">
        <f t="shared" si="7"/>
        <v>1263.157895</v>
      </c>
      <c r="J18" s="136">
        <f t="shared" si="8"/>
        <v>1263.4999</v>
      </c>
      <c r="K18" s="159">
        <f t="shared" si="9"/>
        <v>2.374357133</v>
      </c>
      <c r="L18" s="160">
        <f t="shared" si="10"/>
        <v>137.4357133</v>
      </c>
      <c r="M18" s="161">
        <f t="shared" si="11"/>
        <v>58411</v>
      </c>
      <c r="N18" s="87"/>
      <c r="O18" s="162"/>
      <c r="P18" s="87"/>
      <c r="Q18" s="82"/>
      <c r="R18" s="82"/>
      <c r="S18" s="82"/>
      <c r="T18" s="82"/>
    </row>
    <row r="19">
      <c r="A19" s="82"/>
      <c r="B19" s="82"/>
      <c r="C19" s="82"/>
      <c r="D19" s="82"/>
      <c r="E19" s="82"/>
      <c r="F19" s="82"/>
      <c r="G19" s="83"/>
      <c r="H19" s="83"/>
      <c r="I19" s="83"/>
      <c r="J19" s="83"/>
      <c r="K19" s="83"/>
      <c r="L19" s="83"/>
      <c r="M19" s="83"/>
      <c r="N19" s="87"/>
      <c r="O19" s="163"/>
      <c r="P19" s="164"/>
      <c r="Q19" s="82"/>
      <c r="R19" s="82"/>
      <c r="S19" s="82"/>
      <c r="T19" s="82"/>
    </row>
    <row r="20">
      <c r="A20" s="165" t="s">
        <v>33</v>
      </c>
      <c r="B20" s="13"/>
      <c r="C20" s="166"/>
      <c r="D20" s="82"/>
      <c r="E20" s="82"/>
      <c r="F20" s="82"/>
      <c r="G20" s="83"/>
      <c r="H20" s="167"/>
      <c r="I20" s="168" t="s">
        <v>34</v>
      </c>
      <c r="J20" s="86"/>
      <c r="K20" s="86"/>
      <c r="L20" s="5"/>
      <c r="M20" s="147"/>
      <c r="N20" s="87"/>
      <c r="O20" s="90"/>
      <c r="P20" s="90"/>
      <c r="Q20" s="82"/>
      <c r="R20" s="82"/>
      <c r="S20" s="82"/>
      <c r="T20" s="82"/>
    </row>
    <row r="21">
      <c r="A21" s="116"/>
      <c r="B21" s="117"/>
      <c r="C21" s="166"/>
      <c r="D21" s="82"/>
      <c r="E21" s="82"/>
      <c r="F21" s="82"/>
      <c r="G21" s="83"/>
      <c r="H21" s="169">
        <v>6.0</v>
      </c>
      <c r="I21" s="170">
        <f t="shared" ref="I21:I27" si="13">2000/(2000/(10000/(H21-0.5)))</f>
        <v>1818.181818</v>
      </c>
      <c r="J21" s="171">
        <f t="shared" ref="J21:J27" si="14">IF(AND(ISODD(H21), I21=INT(I21)),I21  - 0.5001, INT(I21) + 0.4999)</f>
        <v>1818.4999</v>
      </c>
      <c r="K21" s="172">
        <f t="shared" ref="K21:K27" si="15">2000/J21</f>
        <v>1.099807594</v>
      </c>
      <c r="L21" s="173">
        <f t="shared" ref="L21:L27" si="16">((K21 / IF($P$17, 1.01, 1) / IF($P$10, 1.05, 1) / IF($S$19, 1.1, 1) / IF($P$11, 1.2, 1) / IF($P$12, 1.3, 1) / IF($P$14, 1.03, 1) / IF($P$15, 1.2, 1) / IF($P$19, 1.01, 1)-1)*100) - IF($P$8=TRUE,$O$8/425)</f>
        <v>9.980759416</v>
      </c>
      <c r="M21" s="174">
        <f t="shared" ref="M21:M27" si="17">ROUNDUP(L21*425,0)</f>
        <v>4242</v>
      </c>
      <c r="N21" s="87"/>
      <c r="O21" s="87"/>
      <c r="P21" s="87"/>
      <c r="Q21" s="82"/>
      <c r="R21" s="82"/>
      <c r="S21" s="82"/>
      <c r="T21" s="82"/>
    </row>
    <row r="22">
      <c r="A22" s="116"/>
      <c r="B22" s="117"/>
      <c r="C22" s="166"/>
      <c r="D22" s="82"/>
      <c r="E22" s="82"/>
      <c r="F22" s="82"/>
      <c r="G22" s="83"/>
      <c r="H22" s="175">
        <f t="shared" ref="H22:H27" si="18">H21+1</f>
        <v>7</v>
      </c>
      <c r="I22" s="176">
        <f t="shared" si="13"/>
        <v>1538.461538</v>
      </c>
      <c r="J22" s="177">
        <f t="shared" si="14"/>
        <v>1538.4999</v>
      </c>
      <c r="K22" s="178">
        <f t="shared" si="15"/>
        <v>1.299967585</v>
      </c>
      <c r="L22" s="179">
        <f t="shared" si="16"/>
        <v>29.99675853</v>
      </c>
      <c r="M22" s="180">
        <f t="shared" si="17"/>
        <v>12749</v>
      </c>
      <c r="N22" s="87"/>
      <c r="O22" s="87"/>
      <c r="P22" s="87"/>
      <c r="Q22" s="82"/>
      <c r="R22" s="82"/>
      <c r="S22" s="82"/>
      <c r="T22" s="82"/>
    </row>
    <row r="23">
      <c r="A23" s="116"/>
      <c r="B23" s="117"/>
      <c r="C23" s="166"/>
      <c r="D23" s="82"/>
      <c r="E23" s="82"/>
      <c r="F23" s="82"/>
      <c r="G23" s="83"/>
      <c r="H23" s="181">
        <f t="shared" si="18"/>
        <v>8</v>
      </c>
      <c r="I23" s="182">
        <f t="shared" si="13"/>
        <v>1333.333333</v>
      </c>
      <c r="J23" s="183">
        <f t="shared" si="14"/>
        <v>1333.4999</v>
      </c>
      <c r="K23" s="184">
        <f t="shared" si="15"/>
        <v>1.499812636</v>
      </c>
      <c r="L23" s="185">
        <f t="shared" si="16"/>
        <v>49.98126359</v>
      </c>
      <c r="M23" s="186">
        <f t="shared" si="17"/>
        <v>21243</v>
      </c>
      <c r="N23" s="87"/>
      <c r="O23" s="87"/>
      <c r="P23" s="87"/>
      <c r="Q23" s="82"/>
      <c r="R23" s="82"/>
      <c r="S23" s="82"/>
      <c r="T23" s="82"/>
    </row>
    <row r="24">
      <c r="A24" s="116"/>
      <c r="B24" s="117"/>
      <c r="C24" s="166"/>
      <c r="D24" s="82"/>
      <c r="E24" s="82"/>
      <c r="F24" s="82"/>
      <c r="G24" s="83"/>
      <c r="H24" s="175">
        <f t="shared" si="18"/>
        <v>9</v>
      </c>
      <c r="I24" s="176">
        <f t="shared" si="13"/>
        <v>1176.470588</v>
      </c>
      <c r="J24" s="177">
        <f t="shared" si="14"/>
        <v>1176.4999</v>
      </c>
      <c r="K24" s="178">
        <f t="shared" si="15"/>
        <v>1.699957646</v>
      </c>
      <c r="L24" s="179">
        <f t="shared" si="16"/>
        <v>69.99576456</v>
      </c>
      <c r="M24" s="180">
        <f t="shared" si="17"/>
        <v>29749</v>
      </c>
      <c r="N24" s="87"/>
      <c r="O24" s="87"/>
      <c r="P24" s="87"/>
      <c r="Q24" s="82"/>
      <c r="R24" s="82"/>
      <c r="S24" s="82"/>
      <c r="T24" s="82"/>
    </row>
    <row r="25">
      <c r="A25" s="130"/>
      <c r="B25" s="22"/>
      <c r="C25" s="82"/>
      <c r="D25" s="82"/>
      <c r="E25" s="82"/>
      <c r="F25" s="82"/>
      <c r="G25" s="83"/>
      <c r="H25" s="181">
        <f t="shared" si="18"/>
        <v>10</v>
      </c>
      <c r="I25" s="182">
        <f t="shared" si="13"/>
        <v>1052.631579</v>
      </c>
      <c r="J25" s="183">
        <f t="shared" si="14"/>
        <v>1052.4999</v>
      </c>
      <c r="K25" s="184">
        <f t="shared" si="15"/>
        <v>1.90023771</v>
      </c>
      <c r="L25" s="185">
        <f t="shared" si="16"/>
        <v>90.02377102</v>
      </c>
      <c r="M25" s="186">
        <f t="shared" si="17"/>
        <v>38261</v>
      </c>
      <c r="N25" s="87"/>
      <c r="O25" s="87"/>
      <c r="P25" s="87"/>
      <c r="Q25" s="82"/>
      <c r="R25" s="82"/>
      <c r="S25" s="82"/>
      <c r="T25" s="187"/>
    </row>
    <row r="26">
      <c r="A26" s="188"/>
      <c r="B26" s="166"/>
      <c r="C26" s="82"/>
      <c r="D26" s="82"/>
      <c r="E26" s="82"/>
      <c r="F26" s="82"/>
      <c r="G26" s="83"/>
      <c r="H26" s="175">
        <f t="shared" si="18"/>
        <v>11</v>
      </c>
      <c r="I26" s="176">
        <f t="shared" si="13"/>
        <v>952.3809524</v>
      </c>
      <c r="J26" s="177">
        <f t="shared" si="14"/>
        <v>952.4999</v>
      </c>
      <c r="K26" s="178">
        <f t="shared" si="15"/>
        <v>2.099737753</v>
      </c>
      <c r="L26" s="179">
        <f t="shared" si="16"/>
        <v>109.9737753</v>
      </c>
      <c r="M26" s="180">
        <f t="shared" si="17"/>
        <v>46739</v>
      </c>
      <c r="N26" s="87"/>
      <c r="O26" s="87"/>
      <c r="P26" s="87"/>
      <c r="Q26" s="82"/>
      <c r="R26" s="82"/>
      <c r="S26" s="82"/>
      <c r="T26" s="187"/>
    </row>
    <row r="27">
      <c r="A27" s="188"/>
      <c r="B27" s="166"/>
      <c r="C27" s="82"/>
      <c r="D27" s="82"/>
      <c r="E27" s="82"/>
      <c r="F27" s="82"/>
      <c r="G27" s="83"/>
      <c r="H27" s="189">
        <f t="shared" si="18"/>
        <v>12</v>
      </c>
      <c r="I27" s="190">
        <f t="shared" si="13"/>
        <v>869.5652174</v>
      </c>
      <c r="J27" s="191">
        <f t="shared" si="14"/>
        <v>869.4999</v>
      </c>
      <c r="K27" s="192">
        <f t="shared" si="15"/>
        <v>2.300172777</v>
      </c>
      <c r="L27" s="193">
        <f t="shared" si="16"/>
        <v>130.0172777</v>
      </c>
      <c r="M27" s="194">
        <f t="shared" si="17"/>
        <v>55258</v>
      </c>
      <c r="N27" s="87"/>
      <c r="O27" s="195"/>
      <c r="P27" s="195"/>
      <c r="Q27" s="196"/>
      <c r="R27" s="82"/>
      <c r="S27" s="82"/>
      <c r="T27" s="187"/>
    </row>
    <row r="28">
      <c r="A28" s="82"/>
      <c r="B28" s="82"/>
      <c r="C28" s="82"/>
      <c r="D28" s="82"/>
      <c r="E28" s="82"/>
      <c r="F28" s="82"/>
      <c r="G28" s="83"/>
      <c r="H28" s="83"/>
      <c r="I28" s="83"/>
      <c r="J28" s="83"/>
      <c r="K28" s="83"/>
      <c r="L28" s="83"/>
      <c r="M28" s="83"/>
      <c r="N28" s="87"/>
      <c r="O28" s="195"/>
      <c r="P28" s="195"/>
      <c r="Q28" s="196"/>
      <c r="R28" s="82"/>
      <c r="S28" s="82"/>
      <c r="T28" s="187"/>
    </row>
    <row r="29">
      <c r="A29" s="82"/>
      <c r="B29" s="82"/>
      <c r="C29" s="82"/>
      <c r="D29" s="82"/>
      <c r="E29" s="82"/>
      <c r="F29" s="82"/>
      <c r="G29" s="83"/>
      <c r="H29" s="90"/>
      <c r="I29" s="90"/>
      <c r="J29" s="90"/>
      <c r="K29" s="90"/>
      <c r="L29" s="90"/>
      <c r="M29" s="90"/>
      <c r="N29" s="87"/>
      <c r="O29" s="87"/>
      <c r="P29" s="87"/>
      <c r="Q29" s="82"/>
      <c r="R29" s="197"/>
      <c r="S29" s="82"/>
      <c r="T29" s="187"/>
    </row>
    <row r="30">
      <c r="A30" s="82"/>
      <c r="B30" s="82"/>
      <c r="C30" s="82"/>
      <c r="D30" s="197"/>
      <c r="E30" s="198"/>
      <c r="F30" s="82"/>
      <c r="G30" s="83"/>
      <c r="H30" s="90"/>
      <c r="I30" s="90"/>
      <c r="J30" s="90"/>
      <c r="K30" s="90"/>
      <c r="L30" s="90"/>
      <c r="M30" s="90"/>
      <c r="N30" s="87"/>
      <c r="O30" s="199"/>
      <c r="P30" s="199"/>
      <c r="Q30" s="197"/>
      <c r="R30" s="197"/>
      <c r="S30" s="82"/>
      <c r="T30" s="187"/>
    </row>
    <row r="31">
      <c r="A31" s="82"/>
      <c r="B31" s="82"/>
      <c r="C31" s="82"/>
      <c r="D31" s="197"/>
      <c r="E31" s="198"/>
      <c r="F31" s="82"/>
      <c r="G31" s="83"/>
      <c r="H31" s="83"/>
      <c r="I31" s="83"/>
      <c r="J31" s="83"/>
      <c r="K31" s="83"/>
      <c r="L31" s="83"/>
      <c r="M31" s="83"/>
      <c r="N31" s="82"/>
      <c r="O31" s="82"/>
      <c r="P31" s="82"/>
      <c r="Q31" s="82"/>
      <c r="R31" s="82"/>
      <c r="S31" s="82"/>
      <c r="T31" s="187"/>
    </row>
    <row r="32">
      <c r="A32" s="82"/>
      <c r="B32" s="82"/>
      <c r="C32" s="82"/>
      <c r="D32" s="197"/>
      <c r="E32" s="198"/>
      <c r="F32" s="82"/>
      <c r="G32" s="83"/>
      <c r="H32" s="83"/>
      <c r="I32" s="83"/>
      <c r="J32" s="83"/>
      <c r="K32" s="83"/>
      <c r="L32" s="83"/>
      <c r="M32" s="83"/>
      <c r="N32" s="82"/>
      <c r="O32" s="82"/>
      <c r="P32" s="187"/>
      <c r="Q32" s="187"/>
      <c r="R32" s="187"/>
      <c r="S32" s="82"/>
      <c r="T32" s="187"/>
    </row>
    <row r="33">
      <c r="A33" s="82"/>
      <c r="B33" s="82"/>
      <c r="C33" s="82"/>
      <c r="D33" s="187"/>
      <c r="E33" s="187"/>
      <c r="F33" s="82"/>
      <c r="G33" s="83"/>
      <c r="H33" s="83"/>
      <c r="I33" s="83"/>
      <c r="J33" s="83"/>
      <c r="K33" s="83"/>
      <c r="L33" s="83"/>
      <c r="M33" s="83"/>
      <c r="N33" s="82"/>
      <c r="O33" s="187"/>
      <c r="P33" s="187"/>
      <c r="Q33" s="187"/>
      <c r="R33" s="187"/>
      <c r="S33" s="82"/>
      <c r="T33" s="187"/>
    </row>
  </sheetData>
  <mergeCells count="12">
    <mergeCell ref="A5:B10"/>
    <mergeCell ref="A12:B18"/>
    <mergeCell ref="A20:B25"/>
    <mergeCell ref="I12:L12"/>
    <mergeCell ref="I20:L20"/>
    <mergeCell ref="A1:F1"/>
    <mergeCell ref="C2:E2"/>
    <mergeCell ref="I2:K2"/>
    <mergeCell ref="O3:P3"/>
    <mergeCell ref="O4:P4"/>
    <mergeCell ref="O6:P6"/>
    <mergeCell ref="O7:P7"/>
  </mergeCells>
  <conditionalFormatting sqref="M4:M33">
    <cfRule type="cellIs" dxfId="0" priority="1" operator="lessThanOrEqual">
      <formula>0</formula>
    </cfRule>
  </conditionalFormatting>
  <conditionalFormatting sqref="L4:L10 L13:L19 L21:L32">
    <cfRule type="cellIs" dxfId="1" priority="2" operator="lessThanOrEqual">
      <formula>0</formula>
    </cfRule>
  </conditionalFormatting>
  <conditionalFormatting sqref="M4:M33">
    <cfRule type="cellIs" dxfId="2" priority="3" operator="lessThanOrEqual">
      <formula>0</formula>
    </cfRule>
  </conditionalFormatting>
  <conditionalFormatting sqref="A1:T33">
    <cfRule type="containsBlanks" dxfId="3" priority="4">
      <formula>LEN(TRIM(A1))=0</formula>
    </cfRule>
  </conditionalFormatting>
  <hyperlinks>
    <hyperlink r:id="rId1" ref="A2"/>
    <hyperlink r:id="rId2" ref="A20"/>
  </hyperlinks>
  <drawing r:id="rId3"/>
</worksheet>
</file>